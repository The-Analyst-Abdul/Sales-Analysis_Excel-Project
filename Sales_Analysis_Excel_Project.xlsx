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ttps://d.docs.live.net/ab22a1555b6c1d31/Documents/rafeek cv/New folder/My Folder/Analyst_Resume/"/>
    </mc:Choice>
  </mc:AlternateContent>
  <xr:revisionPtr revIDLastSave="0" documentId="8_{641761E4-0687-417D-B795-9F4FD5E6BB36}" xr6:coauthVersionLast="47" xr6:coauthVersionMax="47" xr10:uidLastSave="{00000000-0000-0000-0000-000000000000}"/>
  <bookViews>
    <workbookView xWindow="-108" yWindow="-108" windowWidth="23256" windowHeight="12456" xr2:uid="{F8A8AD36-8E0E-4423-81ED-AF3FD6C38CD6}"/>
  </bookViews>
  <sheets>
    <sheet name="Dashboard" sheetId="3" r:id="rId1"/>
    <sheet name="Pivot_Analyze" sheetId="2" r:id="rId2"/>
    <sheet name="Sales_Analysis" sheetId="1" r:id="rId3"/>
  </sheets>
  <definedNames>
    <definedName name="Slicer_Month">#N/A</definedName>
    <definedName name="Slicer_Product">#N/A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8" i="1" l="1" a="1"/>
  <c r="O8" i="1" s="1"/>
  <c r="O6" i="1"/>
  <c r="O4" i="1"/>
  <c r="O2" i="1"/>
  <c r="M2" i="1"/>
  <c r="M3" i="1"/>
  <c r="M4" i="1"/>
  <c r="M5" i="1"/>
  <c r="M6" i="1"/>
  <c r="M7" i="1"/>
  <c r="M8" i="1"/>
  <c r="M9" i="1"/>
  <c r="M10" i="1"/>
  <c r="M11" i="1"/>
  <c r="M12" i="1"/>
  <c r="M13" i="1"/>
  <c r="M14" i="1"/>
  <c r="M15" i="1"/>
  <c r="M16" i="1"/>
  <c r="L2" i="1"/>
  <c r="L3" i="1"/>
  <c r="L4" i="1"/>
  <c r="L5" i="1"/>
  <c r="L6" i="1"/>
  <c r="L7" i="1"/>
  <c r="L8" i="1"/>
  <c r="L9" i="1"/>
  <c r="L10" i="1"/>
  <c r="L11" i="1"/>
  <c r="L12" i="1"/>
  <c r="L13" i="1"/>
  <c r="L14" i="1"/>
  <c r="L15" i="1"/>
  <c r="L16" i="1"/>
  <c r="K16" i="1"/>
  <c r="K15" i="1"/>
  <c r="K14" i="1"/>
  <c r="K13" i="1"/>
  <c r="K12" i="1"/>
  <c r="K11" i="1"/>
  <c r="K10" i="1"/>
  <c r="K9" i="1"/>
  <c r="K8" i="1"/>
  <c r="K7" i="1"/>
  <c r="K6" i="1"/>
  <c r="K5" i="1"/>
  <c r="K4" i="1"/>
  <c r="K3" i="1"/>
  <c r="K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<sst xmlns="http://schemas.openxmlformats.org/spreadsheetml/2006/main" count="120" uniqueCount="70">
  <si>
    <t>Order ID</t>
  </si>
  <si>
    <t>Order Date</t>
  </si>
  <si>
    <t>Region</t>
  </si>
  <si>
    <t>State</t>
  </si>
  <si>
    <t>Category</t>
  </si>
  <si>
    <t>Sub-Category</t>
  </si>
  <si>
    <t>Product</t>
  </si>
  <si>
    <t>Sales</t>
  </si>
  <si>
    <t>Quantity</t>
  </si>
  <si>
    <t>Profit</t>
  </si>
  <si>
    <t>East</t>
  </si>
  <si>
    <t>Tamil Nadu</t>
  </si>
  <si>
    <t>Furniture</t>
  </si>
  <si>
    <t>Chairs</t>
  </si>
  <si>
    <t>Office Chair</t>
  </si>
  <si>
    <t>West</t>
  </si>
  <si>
    <t>Maharashtra</t>
  </si>
  <si>
    <t>Technology</t>
  </si>
  <si>
    <t>Phones</t>
  </si>
  <si>
    <t>South</t>
  </si>
  <si>
    <t>Kerala</t>
  </si>
  <si>
    <t>Office Supplies</t>
  </si>
  <si>
    <t>Paper</t>
  </si>
  <si>
    <t>A4 Sheets</t>
  </si>
  <si>
    <t>North</t>
  </si>
  <si>
    <t>Delhi</t>
  </si>
  <si>
    <t>Tables</t>
  </si>
  <si>
    <t>Wooden Table</t>
  </si>
  <si>
    <t>West Bengal</t>
  </si>
  <si>
    <t>Laptops</t>
  </si>
  <si>
    <t>Binders</t>
  </si>
  <si>
    <t>Binder Set</t>
  </si>
  <si>
    <t>Gujarat</t>
  </si>
  <si>
    <t>Bookcases</t>
  </si>
  <si>
    <t>Book Shelf</t>
  </si>
  <si>
    <t>Punjab</t>
  </si>
  <si>
    <t>Accessories</t>
  </si>
  <si>
    <t>Mouse</t>
  </si>
  <si>
    <t>Odisha</t>
  </si>
  <si>
    <t>Storage</t>
  </si>
  <si>
    <t>Storage Box</t>
  </si>
  <si>
    <t>Karnataka</t>
  </si>
  <si>
    <t>Rajasthan</t>
  </si>
  <si>
    <t>Visitor Chair</t>
  </si>
  <si>
    <t>Haryana</t>
  </si>
  <si>
    <t>Bihar</t>
  </si>
  <si>
    <t>Notebook</t>
  </si>
  <si>
    <t>Telangana</t>
  </si>
  <si>
    <t>Study Table</t>
  </si>
  <si>
    <t>Madhya Pradesh</t>
  </si>
  <si>
    <t>Keyboard</t>
  </si>
  <si>
    <t>Month</t>
  </si>
  <si>
    <t>Year</t>
  </si>
  <si>
    <t>Profit Margin</t>
  </si>
  <si>
    <t>Grand Total</t>
  </si>
  <si>
    <t>Sum of Sales</t>
  </si>
  <si>
    <t>Sum of Profit</t>
  </si>
  <si>
    <t>January</t>
  </si>
  <si>
    <t>February</t>
  </si>
  <si>
    <t>March</t>
  </si>
  <si>
    <t>April</t>
  </si>
  <si>
    <t>Sales By Product</t>
  </si>
  <si>
    <t>Sales By Month</t>
  </si>
  <si>
    <t>Sales By Region</t>
  </si>
  <si>
    <t>Total Sales</t>
  </si>
  <si>
    <t>Unit Sold</t>
  </si>
  <si>
    <t xml:space="preserve">Acer Laptop </t>
  </si>
  <si>
    <t>Redmi Mobile</t>
  </si>
  <si>
    <t>Samsung Mobile</t>
  </si>
  <si>
    <t xml:space="preserve">Asus Laptop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</si>
</sst>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 x14ac:knownFonts="1">
    <font>
      <sz val="11"/>
      <color theme="1"/>
      <name val="Tw Cen MT"/>
      <family val="2"/>
      <scheme val="minor"/>
    </font>
    <font>
      <b/>
      <sz val="11"/>
      <color theme="1"/>
      <name val="Tw Cen MT"/>
      <family val="2"/>
      <scheme val="minor"/>
    </font>
    <font>
      <sz val="11"/>
      <color theme="1"/>
      <name val="Tw Cen MT"/>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11">
    <xf numFmtId="0" fontId="0" fillId="0" borderId="0" xfId="0"/>
    <xf numFmtId="0" fontId="0" fillId="0" borderId="0" xfId="0" applyAlignment="1">
      <alignment horizontal="center"/>
    </xf>
    <xf numFmtId="14" fontId="0" fillId="0" borderId="0" xfId="0" applyNumberFormat="1" applyAlignment="1">
      <alignment horizontal="center"/>
    </xf>
    <xf numFmtId="0" fontId="1" fillId="0" borderId="0" xfId="0"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Border="1"/>
    <xf numFmtId="0" fontId="1" fillId="0" borderId="0" xfId="0" applyFont="1"/>
    <xf numFmtId="164" fontId="0" fillId="0" borderId="0" xfId="1" applyNumberFormat="1" applyFont="1"/>
    <xf numFmtId="9" fontId="0" fillId="0" borderId="0" xfId="2" applyNumberFormat="1" applyFont="1"/>
  </cellXfs>
  <cellStyles count="3">
    <cellStyle name="Comma" xfId="1" builtinId="3"/>
    <cellStyle name="Normal" xfId="0" builtinId="0"/>
    <cellStyle name="Percent" xfId="2" builtinId="5"/>
  </cellStyles>
  <dxfs count="15">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Tw Cen MT"/>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[Sales_Analysis_Excel_Project.xlsx]Pivot_Analyze!PivotTable3</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Pivot_Analyze!$E$3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Pivot_Analyze!$D$4:$D$8</c:f>
              <c:strCache>
                <c:ptCount val="4"/>
                <c:pt idx="0">
                  <c:v>January</c:v>
                </c:pt>
                <c:pt idx="1">
                  <c:v>February</c:v>
                </c:pt>
                <c:pt idx="2">
                  <c:v>March</c:v>
                </c:pt>
                <c:pt idx="3">
                  <c:v>April</c:v>
                </c:pt>
              </c:strCache>
            </c:strRef>
          </c:cat>
          <c:val>
            <c:numRef>
              <c:f>Pivot_Analyze!$E$4:$E$8</c:f>
              <c:numCache>
                <c:formatCode>General</c:formatCode>
                <c:ptCount val="4"/>
                <c:pt idx="0">
                  <c:v>3100</c:v>
                </c:pt>
                <c:pt idx="1">
                  <c:v>8950</c:v>
                </c:pt>
                <c:pt idx="2">
                  <c:v>3600</c:v>
                </c:pt>
                <c:pt idx="3">
                  <c:v>10950</c:v>
                </c:pt>
              </c:numCache>
            </c:numRef>
          </c:val>
          <c:smooth val="0"/>
          <c:extLst>
            <c:ext xmlns:c16="http://schemas.microsoft.com/office/drawing/2014/chart" uri="{C3380CC4-5D6E-409C-BE32-E72D297353CC}">
              <c16:uniqueId val="{00000000-CD88-450A-98D1-556330767C6F}"/>
            </c:ext>
          </c:extLst>
        </c:ser>
        <c:dLbls>
          <c:dLblPos val="t"/>
          <c:showLegendKey val="0"/>
          <c:showVal val="1"/>
          <c:showCatName val="0"/>
          <c:showSerName val="0"/>
          <c:showPercent val="0"/>
          <c:showBubbleSize val="0"/>
        </c:dLbls>
        <c:smooth val="0"/>
        <c:axId val="452767568"/>
        <c:axId val="452769208"/>
      </c:lineChart>
      <c:catAx>
        <c:axId val="45276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52769208"/>
        <c:crosses val="autoZero"/>
        <c:auto val="1"/>
        <c:lblAlgn val="ctr"/>
        <c:lblOffset val="100"/>
        <c:noMultiLvlLbl val="0"/>
      </c:catAx>
      <c:valAx>
        <c:axId val="452769208"/>
        <c:scaling>
          <c:orientation val="minMax"/>
        </c:scaling>
        <c:delete val="1"/>
        <c:axPos val="l"/>
        <c:numFmt formatCode="General" sourceLinked="1"/>
        <c:majorTickMark val="none"/>
        <c:minorTickMark val="none"/>
        <c:tickLblPos val="nextTo"/>
        <c:crossAx val="452767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[Sales_Analysis_Excel_Project.xlsx]Pivot_Analyze!PivotTable1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Pivot_Analyze!$B$3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Pivot_Analyze!$A$4:$A$8</c:f>
              <c:strCache>
                <c:ptCount val="4"/>
                <c:pt idx="0">
                  <c:v>South</c:v>
                </c:pt>
                <c:pt idx="1">
                  <c:v>West</c:v>
                </c:pt>
                <c:pt idx="2">
                  <c:v>East</c:v>
                </c:pt>
                <c:pt idx="3">
                  <c:v>North</c:v>
                </c:pt>
              </c:strCache>
            </c:strRef>
          </c:cat>
          <c:val>
            <c:numRef>
              <c:f>Pivot_Analyze!$B$4:$B$8</c:f>
              <c:numCache>
                <c:formatCode>General</c:formatCode>
                <c:ptCount val="4"/>
                <c:pt idx="0">
                  <c:v>29600</c:v>
                </c:pt>
                <c:pt idx="1">
                  <c:v>32200</c:v>
                </c:pt>
                <c:pt idx="2">
                  <c:v>63500</c:v>
                </c:pt>
                <c:pt idx="3">
                  <c:v>70700</c:v>
                </c:pt>
              </c:numCache>
            </c:numRef>
          </c:val>
          <c:extLst>
            <c:ext xmlns:c16="http://schemas.microsoft.com/office/drawing/2014/chart" uri="{C3380CC4-5D6E-409C-BE32-E72D297353CC}">
              <c16:uniqueId val="{00000000-C1B9-4C44-9690-0A25015ABA68}"/>
            </c:ext>
          </c:extLst>
        </c:ser>
        <c:dLbls>
          <c:dLblPos val="outEnd"/>
          <c:showLegendKey val="0"/>
          <c:showVal val="1"/>
          <c:showCatName val="0"/>
          <c:showSerName val="0"/>
          <c:showPercent val="0"/>
          <c:showBubbleSize val="0"/>
        </c:dLbls>
        <c:gapWidth val="127"/>
        <c:overlap val="-27"/>
        <c:axId val="622213864"/>
        <c:axId val="622211568"/>
      </c:barChart>
      <c:catAx>
        <c:axId val="622213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622211568"/>
        <c:crosses val="autoZero"/>
        <c:auto val="1"/>
        <c:lblAlgn val="ctr"/>
        <c:lblOffset val="100"/>
        <c:noMultiLvlLbl val="0"/>
      </c:catAx>
      <c:valAx>
        <c:axId val="622211568"/>
        <c:scaling>
          <c:orientation val="minMax"/>
        </c:scaling>
        <c:delete val="1"/>
        <c:axPos val="l"/>
        <c:numFmt formatCode="General" sourceLinked="1"/>
        <c:majorTickMark val="out"/>
        <c:minorTickMark val="none"/>
        <c:tickLblPos val="nextTo"/>
        <c:crossAx val="622213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[Sales_Analysis_Excel_Project.xlsx]Pivot_Analyze!PivotTable2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63217150769308"/>
          <c:y val="0.1255704432883834"/>
          <c:w val="0.77726123691432691"/>
          <c:h val="0.80536581290300557"/>
        </c:manualLayout>
      </c:layout>
      <c:barChart>
        <c:barDir val="bar"/>
        <c:grouping val="clustered"/>
        <c:varyColors val="0"/>
        <c:ser>
          <c:idx val="0"/>
          <c:order val="0"/>
          <c:tx>
            <c:strRef>
              <c:f>Pivot_Analyze!$K$3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Pivot_Analyze!$J$4:$J$9</c:f>
              <c:strCache>
                <c:ptCount val="5"/>
                <c:pt idx="0">
                  <c:v>Book Shelf</c:v>
                </c:pt>
                <c:pt idx="1">
                  <c:v>Samsung Mobile</c:v>
                </c:pt>
                <c:pt idx="2">
                  <c:v>Redmi Mobile</c:v>
                </c:pt>
                <c:pt idx="3">
                  <c:v>Asus Laptop </c:v>
                </c:pt>
                <c:pt idx="4">
                  <c:v>Acer Laptop </c:v>
                </c:pt>
              </c:strCache>
            </c:strRef>
          </c:cat>
          <c:val>
            <c:numRef>
              <c:f>Pivot_Analyze!$K$4:$K$9</c:f>
              <c:numCache>
                <c:formatCode>General</c:formatCode>
                <c:ptCount val="5"/>
                <c:pt idx="0">
                  <c:v>12000</c:v>
                </c:pt>
                <c:pt idx="1">
                  <c:v>15000</c:v>
                </c:pt>
                <c:pt idx="2">
                  <c:v>18000</c:v>
                </c:pt>
                <c:pt idx="3">
                  <c:v>55000</c:v>
                </c:pt>
                <c:pt idx="4">
                  <c:v>62000</c:v>
                </c:pt>
              </c:numCache>
            </c:numRef>
          </c:val>
          <c:extLst>
            <c:ext xmlns:c16="http://schemas.microsoft.com/office/drawing/2014/chart" uri="{C3380CC4-5D6E-409C-BE32-E72D297353CC}">
              <c16:uniqueId val="{00000000-902B-40B4-B3E7-551B8267C27C}"/>
            </c:ext>
          </c:extLst>
        </c:ser>
        <c:dLbls>
          <c:dLblPos val="outEnd"/>
          <c:showLegendKey val="0"/>
          <c:showVal val="1"/>
          <c:showCatName val="0"/>
          <c:showSerName val="0"/>
          <c:showPercent val="0"/>
          <c:showBubbleSize val="0"/>
        </c:dLbls>
        <c:gapWidth val="50"/>
        <c:axId val="737146432"/>
        <c:axId val="737150696"/>
      </c:barChart>
      <c:catAx>
        <c:axId val="7371464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37150696"/>
        <c:crosses val="autoZero"/>
        <c:auto val="1"/>
        <c:lblAlgn val="ctr"/>
        <c:lblOffset val="100"/>
        <c:noMultiLvlLbl val="0"/>
      </c:catAx>
      <c:valAx>
        <c:axId val="737150696"/>
        <c:scaling>
          <c:orientation val="minMax"/>
        </c:scaling>
        <c:delete val="1"/>
        <c:axPos val="b"/>
        <c:numFmt formatCode="General" sourceLinked="1"/>
        <c:majorTickMark val="out"/>
        <c:minorTickMark val="none"/>
        <c:tickLblPos val="nextTo"/>
        <c:crossAx val="737146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[Sales_Analysis_Excel_Project.xlsx]Pivot_Analyze!PivotTable4</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cmpd="sng">
            <a:solidFill>
              <a:schemeClr val="accent1"/>
            </a:solid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cmpd="sng">
            <a:solidFill>
              <a:schemeClr val="accent1"/>
            </a:solidFill>
          </a:ln>
          <a:effectLst>
            <a:softEdge rad="0"/>
          </a:effectLst>
        </c:spPr>
      </c:pivotFmt>
      <c:pivotFmt>
        <c:idx val="7"/>
        <c:spPr>
          <a:solidFill>
            <a:schemeClr val="accent1"/>
          </a:solidFill>
          <a:ln w="19050" cmpd="sng">
            <a:solidFill>
              <a:schemeClr val="accent1"/>
            </a:solidFill>
          </a:ln>
          <a:effectLst>
            <a:softEdge rad="0"/>
          </a:effectLst>
        </c:spPr>
      </c:pivotFmt>
      <c:pivotFmt>
        <c:idx val="8"/>
        <c:spPr>
          <a:solidFill>
            <a:schemeClr val="accent1"/>
          </a:solidFill>
          <a:ln w="19050" cmpd="sng">
            <a:solidFill>
              <a:schemeClr val="accent1"/>
            </a:solidFill>
          </a:ln>
          <a:effectLst>
            <a:softEdge rad="0"/>
          </a:effectLst>
        </c:spPr>
      </c:pivotFmt>
    </c:pivotFmts>
    <c:plotArea>
      <c:layout>
        <c:manualLayout>
          <c:layoutTarget val="inner"/>
          <c:xMode val="edge"/>
          <c:yMode val="edge"/>
          <c:x val="0.34031528100646813"/>
          <c:y val="0.13310089006401876"/>
          <c:w val="0.27841991421794543"/>
          <c:h val="0.59544759268359426"/>
        </c:manualLayout>
      </c:layout>
      <c:doughnutChart>
        <c:varyColors val="1"/>
        <c:ser>
          <c:idx val="0"/>
          <c:order val="0"/>
          <c:tx>
            <c:strRef>
              <c:f>Pivot_Analyze!$H$3</c:f>
              <c:strCache>
                <c:ptCount val="1"/>
                <c:pt idx="0">
                  <c:v>Total</c:v>
                </c:pt>
              </c:strCache>
            </c:strRef>
          </c:tx>
          <c:spPr>
            <a:ln cmpd="sng">
              <a:solidFill>
                <a:schemeClr val="accent1"/>
              </a:solidFill>
            </a:ln>
            <a:effectLst>
              <a:softEdge rad="0"/>
            </a:effectLst>
          </c:spPr>
          <c:dPt>
            <c:idx val="0"/>
            <c:bubble3D val="0"/>
            <c:spPr>
              <a:solidFill>
                <a:schemeClr val="accent1"/>
              </a:solidFill>
              <a:ln w="19050" cmpd="sng">
                <a:solidFill>
                  <a:schemeClr val="accent1"/>
                </a:solidFill>
              </a:ln>
              <a:effectLst>
                <a:softEdge rad="0"/>
              </a:effectLst>
            </c:spPr>
            <c:extLst>
              <c:ext xmlns:c16="http://schemas.microsoft.com/office/drawing/2014/chart" uri="{C3380CC4-5D6E-409C-BE32-E72D297353CC}">
                <c16:uniqueId val="{00000001-0A1E-43AC-9785-5D4944A31172}"/>
              </c:ext>
            </c:extLst>
          </c:dPt>
          <c:dPt>
            <c:idx val="1"/>
            <c:bubble3D val="0"/>
            <c:spPr>
              <a:solidFill>
                <a:schemeClr val="accent2"/>
              </a:solidFill>
              <a:ln w="19050" cmpd="sng">
                <a:solidFill>
                  <a:schemeClr val="accent1"/>
                </a:solidFill>
              </a:ln>
              <a:effectLst>
                <a:softEdge rad="0"/>
              </a:effectLst>
            </c:spPr>
            <c:extLst>
              <c:ext xmlns:c16="http://schemas.microsoft.com/office/drawing/2014/chart" uri="{C3380CC4-5D6E-409C-BE32-E72D297353CC}">
                <c16:uniqueId val="{00000003-0A1E-43AC-9785-5D4944A31172}"/>
              </c:ext>
            </c:extLst>
          </c:dPt>
          <c:dPt>
            <c:idx val="2"/>
            <c:bubble3D val="0"/>
            <c:spPr>
              <a:solidFill>
                <a:schemeClr val="accent3"/>
              </a:solidFill>
              <a:ln w="19050" cmpd="sng">
                <a:solidFill>
                  <a:schemeClr val="accent1"/>
                </a:solidFill>
              </a:ln>
              <a:effectLst>
                <a:softEdge rad="0"/>
              </a:effectLst>
            </c:spPr>
            <c:extLst>
              <c:ext xmlns:c16="http://schemas.microsoft.com/office/drawing/2014/chart" uri="{C3380CC4-5D6E-409C-BE32-E72D297353CC}">
                <c16:uniqueId val="{00000005-0A1E-43AC-9785-5D4944A311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Pivot_Analyze!$G$4:$G$7</c:f>
              <c:strCache>
                <c:ptCount val="3"/>
                <c:pt idx="0">
                  <c:v>Technology</c:v>
                </c:pt>
                <c:pt idx="1">
                  <c:v>Furniture</c:v>
                </c:pt>
                <c:pt idx="2">
                  <c:v>Office Supplies</c:v>
                </c:pt>
              </c:strCache>
            </c:strRef>
          </c:cat>
          <c:val>
            <c:numRef>
              <c:f>Pivot_Analyze!$H$4:$H$7</c:f>
              <c:numCache>
                <c:formatCode>General</c:formatCode>
                <c:ptCount val="3"/>
                <c:pt idx="0">
                  <c:v>22100</c:v>
                </c:pt>
                <c:pt idx="1">
                  <c:v>3900</c:v>
                </c:pt>
                <c:pt idx="2">
                  <c:v>600</c:v>
                </c:pt>
              </c:numCache>
            </c:numRef>
          </c:val>
          <c:extLst>
            <c:ext xmlns:c16="http://schemas.microsoft.com/office/drawing/2014/chart" uri="{C3380CC4-5D6E-409C-BE32-E72D297353CC}">
              <c16:uniqueId val="{00000006-0A1E-43AC-9785-5D4944A31172}"/>
            </c:ext>
          </c:extLst>
        </c:ser>
        <c:dLbls>
          <c:showLegendKey val="0"/>
          <c:showVal val="1"/>
          <c:showCatName val="0"/>
          <c:showSerName val="0"/>
          <c:showPercent val="0"/>
          <c:showBubbleSize val="0"/>
          <c:showLeaderLines val="1"/>
        </c:dLbls>
        <c:firstSliceAng val="0"/>
        <c:holeSize val="48"/>
      </c:doughnutChart>
      <c:spPr>
        <a:noFill/>
        <a:ln>
          <a:solidFill>
            <a:schemeClr val="bg1">
              <a:alpha val="89000"/>
            </a:schemeClr>
          </a:solidFill>
        </a:ln>
        <a:effectLst>
          <a:glow rad="228600">
            <a:schemeClr val="accent4">
              <a:lumMod val="75000"/>
              <a:alpha val="40000"/>
            </a:schemeClr>
          </a:glow>
          <a:innerShdw blurRad="139700">
            <a:prstClr val="black">
              <a:alpha val="71000"/>
            </a:prstClr>
          </a:innerShdw>
          <a:softEdge rad="31750"/>
        </a:effectLst>
      </c:spPr>
    </c:plotArea>
    <c:legend>
      <c:legendPos val="b"/>
      <c:overlay val="0"/>
      <c:spPr>
        <a:noFill/>
        <a:ln>
          <a:noFill/>
        </a:ln>
        <a:effectLst>
          <a:glow rad="12700">
            <a:schemeClr val="accent1">
              <a:alpha val="40000"/>
            </a:schemeClr>
          </a:glow>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[Sales_Analysis_Excel_Project.xlsx]Pivot_Analyze!PivotTable4</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2985171516734009"/>
              <c:y val="8.83838383838383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9600258893183417"/>
              <c:y val="3.1565656565656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5925210350711513"/>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Pivot_Analyze!$H$3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245-420D-90FE-9DF4C5C1D7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245-420D-90FE-9DF4C5C1D73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245-420D-90FE-9DF4C5C1D731}"/>
              </c:ext>
            </c:extLst>
          </c:dPt>
          <c:dLbls>
            <c:dLbl>
              <c:idx val="0"/>
              <c:layout>
                <c:manualLayout>
                  <c:x val="0.12985171516734009"/>
                  <c:y val="8.83838383838383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45-420D-90FE-9DF4C5C1D731}"/>
                </c:ext>
              </c:extLst>
            </c:dLbl>
            <c:dLbl>
              <c:idx val="1"/>
              <c:layout>
                <c:manualLayout>
                  <c:x val="-0.19600258893183417"/>
                  <c:y val="3.1565656565656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245-420D-90FE-9DF4C5C1D731}"/>
                </c:ext>
              </c:extLst>
            </c:dLbl>
            <c:dLbl>
              <c:idx val="2"/>
              <c:layout>
                <c:manualLayout>
                  <c:x val="0.15925210350711513"/>
                  <c:y val="-0.138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245-420D-90FE-9DF4C5C1D73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Pivot_Analyze!$G$4:$G$7</c:f>
              <c:strCache>
                <c:ptCount val="3"/>
                <c:pt idx="0">
                  <c:v>Technology</c:v>
                </c:pt>
                <c:pt idx="1">
                  <c:v>Furniture</c:v>
                </c:pt>
                <c:pt idx="2">
                  <c:v>Office Supplies</c:v>
                </c:pt>
              </c:strCache>
            </c:strRef>
          </c:cat>
          <c:val>
            <c:numRef>
              <c:f>Pivot_Analyze!$H$4:$H$7</c:f>
              <c:numCache>
                <c:formatCode>General</c:formatCode>
                <c:ptCount val="3"/>
                <c:pt idx="0">
                  <c:v>22100</c:v>
                </c:pt>
                <c:pt idx="1">
                  <c:v>3900</c:v>
                </c:pt>
                <c:pt idx="2">
                  <c:v>600</c:v>
                </c:pt>
              </c:numCache>
            </c:numRef>
          </c:val>
          <c:extLst>
            <c:ext xmlns:c16="http://schemas.microsoft.com/office/drawing/2014/chart" uri="{C3380CC4-5D6E-409C-BE32-E72D297353CC}">
              <c16:uniqueId val="{00000006-E245-420D-90FE-9DF4C5C1D731}"/>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10.png"/><Relationship Id="rId3" Type="http://schemas.openxmlformats.org/officeDocument/2006/relationships/chart" Target="../charts/chart3.xml"/><Relationship Id="rId7" Type="http://schemas.openxmlformats.org/officeDocument/2006/relationships/image" Target="../media/image4.png"/><Relationship Id="rId12" Type="http://schemas.openxmlformats.org/officeDocument/2006/relationships/image" Target="../media/image9.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svg"/><Relationship Id="rId11" Type="http://schemas.openxmlformats.org/officeDocument/2006/relationships/image" Target="../media/image8.png"/><Relationship Id="rId5" Type="http://schemas.openxmlformats.org/officeDocument/2006/relationships/image" Target="../media/image2.png"/><Relationship Id="rId15" Type="http://schemas.openxmlformats.org/officeDocument/2006/relationships/chart" Target="../charts/chart5.xml"/><Relationship Id="rId10" Type="http://schemas.openxmlformats.org/officeDocument/2006/relationships/image" Target="../media/image7.svg"/><Relationship Id="rId4" Type="http://schemas.openxmlformats.org/officeDocument/2006/relationships/chart" Target="../charts/chart4.xml"/><Relationship Id="rId9" Type="http://schemas.openxmlformats.org/officeDocument/2006/relationships/image" Target="../media/image6.png"/><Relationship Id="rId14" Type="http://schemas.openxmlformats.org/officeDocument/2006/relationships/image" Target="../media/image11.svg"/></Relationships>
</file>

<file path=xl/drawings/drawing1.xml><?xml version="1.0" encoding="utf-8"?>
<xdr:wsDr xmlns:xdr="http://schemas.openxmlformats.org/drawingml/2006/spreadsheetDrawing" xmlns:a="http://schemas.openxmlformats.org/drawingml/2006/main">
  <xdr:twoCellAnchor>
    <xdr:from>
      <xdr:col>0</xdr:col>
      <xdr:colOff>101465</xdr:colOff>
      <xdr:row>24</xdr:row>
      <xdr:rowOff>161405</xdr:rowOff>
    </xdr:from>
    <xdr:to>
      <xdr:col>5</xdr:col>
      <xdr:colOff>330065</xdr:colOff>
      <xdr:row>36</xdr:row>
      <xdr:rowOff>123038</xdr:rowOff>
    </xdr:to>
    <xdr:graphicFrame macro="">
      <xdr:nvGraphicFramePr>
        <xdr:cNvPr id="2" name="Chart 1">
          <a:extLst>
            <a:ext uri="{FF2B5EF4-FFF2-40B4-BE49-F238E27FC236}">
              <a16:creationId xmlns:a16="http://schemas.microsoft.com/office/drawing/2014/main" id="{21DA7FC7-DE0E-4A03-B2E4-27DC77B50C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815744</xdr:colOff>
      <xdr:row>11</xdr:row>
      <xdr:rowOff>7523</xdr:rowOff>
    </xdr:from>
    <xdr:to>
      <xdr:col>11</xdr:col>
      <xdr:colOff>565487</xdr:colOff>
      <xdr:row>22</xdr:row>
      <xdr:rowOff>117010</xdr:rowOff>
    </xdr:to>
    <xdr:graphicFrame macro="">
      <xdr:nvGraphicFramePr>
        <xdr:cNvPr id="3" name="Chart 2">
          <a:extLst>
            <a:ext uri="{FF2B5EF4-FFF2-40B4-BE49-F238E27FC236}">
              <a16:creationId xmlns:a16="http://schemas.microsoft.com/office/drawing/2014/main" id="{3BEB32A5-5EA0-4B4B-A86C-8F695A518A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93850</xdr:colOff>
      <xdr:row>11</xdr:row>
      <xdr:rowOff>7533</xdr:rowOff>
    </xdr:from>
    <xdr:to>
      <xdr:col>5</xdr:col>
      <xdr:colOff>468513</xdr:colOff>
      <xdr:row>22</xdr:row>
      <xdr:rowOff>117020</xdr:rowOff>
    </xdr:to>
    <xdr:graphicFrame macro="">
      <xdr:nvGraphicFramePr>
        <xdr:cNvPr id="4" name="Chart 3">
          <a:extLst>
            <a:ext uri="{FF2B5EF4-FFF2-40B4-BE49-F238E27FC236}">
              <a16:creationId xmlns:a16="http://schemas.microsoft.com/office/drawing/2014/main" id="{75E75F1B-7BAD-4B65-94E1-D98C38B07D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537216</xdr:colOff>
      <xdr:row>25</xdr:row>
      <xdr:rowOff>8422</xdr:rowOff>
    </xdr:from>
    <xdr:to>
      <xdr:col>35</xdr:col>
      <xdr:colOff>317037</xdr:colOff>
      <xdr:row>36</xdr:row>
      <xdr:rowOff>110289</xdr:rowOff>
    </xdr:to>
    <xdr:graphicFrame macro="">
      <xdr:nvGraphicFramePr>
        <xdr:cNvPr id="5" name="Chart 4">
          <a:extLst>
            <a:ext uri="{FF2B5EF4-FFF2-40B4-BE49-F238E27FC236}">
              <a16:creationId xmlns:a16="http://schemas.microsoft.com/office/drawing/2014/main" id="{76C9C43E-E57F-47C8-B66D-5E978E028F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160867</xdr:colOff>
      <xdr:row>5</xdr:row>
      <xdr:rowOff>110068</xdr:rowOff>
    </xdr:from>
    <xdr:to>
      <xdr:col>15</xdr:col>
      <xdr:colOff>300790</xdr:colOff>
      <xdr:row>9</xdr:row>
      <xdr:rowOff>93135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492CEB7E-A808-41D2-9223-77A2AAE5743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019367" y="962305"/>
              <a:ext cx="1862889" cy="6648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44</xdr:col>
      <xdr:colOff>509581</xdr:colOff>
      <xdr:row>8</xdr:row>
      <xdr:rowOff>8824</xdr:rowOff>
    </xdr:from>
    <xdr:to>
      <xdr:col>45</xdr:col>
      <xdr:colOff>47687</xdr:colOff>
      <xdr:row>9</xdr:row>
      <xdr:rowOff>81481</xdr:rowOff>
    </xdr:to>
    <xdr:sp macro="" textlink="">
      <xdr:nvSpPr>
        <xdr:cNvPr id="19" name="Graphic 9" descr="Coins with solid fill">
          <a:extLst>
            <a:ext uri="{FF2B5EF4-FFF2-40B4-BE49-F238E27FC236}">
              <a16:creationId xmlns:a16="http://schemas.microsoft.com/office/drawing/2014/main" id="{FFADA152-F4E0-4048-9970-2A4AD01C2AC5}"/>
            </a:ext>
          </a:extLst>
        </xdr:cNvPr>
        <xdr:cNvSpPr/>
      </xdr:nvSpPr>
      <xdr:spPr>
        <a:xfrm rot="5400000">
          <a:off x="32847885" y="1389020"/>
          <a:ext cx="243104" cy="209869"/>
        </a:xfrm>
        <a:custGeom>
          <a:avLst/>
          <a:gdLst>
            <a:gd name="connsiteX0" fmla="*/ 232850 w 250456"/>
            <a:gd name="connsiteY0" fmla="*/ 174891 h 209869"/>
            <a:gd name="connsiteX1" fmla="*/ 220925 w 250456"/>
            <a:gd name="connsiteY1" fmla="*/ 184802 h 209869"/>
            <a:gd name="connsiteX2" fmla="*/ 220925 w 250456"/>
            <a:gd name="connsiteY2" fmla="*/ 174308 h 209869"/>
            <a:gd name="connsiteX3" fmla="*/ 232850 w 250456"/>
            <a:gd name="connsiteY3" fmla="*/ 169645 h 209869"/>
            <a:gd name="connsiteX4" fmla="*/ 232850 w 250456"/>
            <a:gd name="connsiteY4" fmla="*/ 174891 h 209869"/>
            <a:gd name="connsiteX5" fmla="*/ 208999 w 250456"/>
            <a:gd name="connsiteY5" fmla="*/ 155653 h 209869"/>
            <a:gd name="connsiteX6" fmla="*/ 208999 w 250456"/>
            <a:gd name="connsiteY6" fmla="*/ 145160 h 209869"/>
            <a:gd name="connsiteX7" fmla="*/ 220925 w 250456"/>
            <a:gd name="connsiteY7" fmla="*/ 140496 h 209869"/>
            <a:gd name="connsiteX8" fmla="*/ 220925 w 250456"/>
            <a:gd name="connsiteY8" fmla="*/ 145743 h 209869"/>
            <a:gd name="connsiteX9" fmla="*/ 208999 w 250456"/>
            <a:gd name="connsiteY9" fmla="*/ 155653 h 209869"/>
            <a:gd name="connsiteX10" fmla="*/ 208999 w 250456"/>
            <a:gd name="connsiteY10" fmla="*/ 188300 h 209869"/>
            <a:gd name="connsiteX11" fmla="*/ 197073 w 250456"/>
            <a:gd name="connsiteY11" fmla="*/ 190340 h 209869"/>
            <a:gd name="connsiteX12" fmla="*/ 197073 w 250456"/>
            <a:gd name="connsiteY12" fmla="*/ 178972 h 209869"/>
            <a:gd name="connsiteX13" fmla="*/ 208999 w 250456"/>
            <a:gd name="connsiteY13" fmla="*/ 177223 h 209869"/>
            <a:gd name="connsiteX14" fmla="*/ 208999 w 250456"/>
            <a:gd name="connsiteY14" fmla="*/ 188300 h 209869"/>
            <a:gd name="connsiteX15" fmla="*/ 185147 w 250456"/>
            <a:gd name="connsiteY15" fmla="*/ 149824 h 209869"/>
            <a:gd name="connsiteX16" fmla="*/ 197073 w 250456"/>
            <a:gd name="connsiteY16" fmla="*/ 148075 h 209869"/>
            <a:gd name="connsiteX17" fmla="*/ 197073 w 250456"/>
            <a:gd name="connsiteY17" fmla="*/ 159151 h 209869"/>
            <a:gd name="connsiteX18" fmla="*/ 185147 w 250456"/>
            <a:gd name="connsiteY18" fmla="*/ 161191 h 209869"/>
            <a:gd name="connsiteX19" fmla="*/ 185147 w 250456"/>
            <a:gd name="connsiteY19" fmla="*/ 149824 h 209869"/>
            <a:gd name="connsiteX20" fmla="*/ 185147 w 250456"/>
            <a:gd name="connsiteY20" fmla="*/ 191797 h 209869"/>
            <a:gd name="connsiteX21" fmla="*/ 173222 w 250456"/>
            <a:gd name="connsiteY21" fmla="*/ 192380 h 209869"/>
            <a:gd name="connsiteX22" fmla="*/ 173222 w 250456"/>
            <a:gd name="connsiteY22" fmla="*/ 180721 h 209869"/>
            <a:gd name="connsiteX23" fmla="*/ 185147 w 250456"/>
            <a:gd name="connsiteY23" fmla="*/ 180138 h 209869"/>
            <a:gd name="connsiteX24" fmla="*/ 185147 w 250456"/>
            <a:gd name="connsiteY24" fmla="*/ 191797 h 209869"/>
            <a:gd name="connsiteX25" fmla="*/ 161296 w 250456"/>
            <a:gd name="connsiteY25" fmla="*/ 163232 h 209869"/>
            <a:gd name="connsiteX26" fmla="*/ 161296 w 250456"/>
            <a:gd name="connsiteY26" fmla="*/ 151572 h 209869"/>
            <a:gd name="connsiteX27" fmla="*/ 173222 w 250456"/>
            <a:gd name="connsiteY27" fmla="*/ 150989 h 209869"/>
            <a:gd name="connsiteX28" fmla="*/ 173222 w 250456"/>
            <a:gd name="connsiteY28" fmla="*/ 162649 h 209869"/>
            <a:gd name="connsiteX29" fmla="*/ 161296 w 250456"/>
            <a:gd name="connsiteY29" fmla="*/ 163232 h 209869"/>
            <a:gd name="connsiteX30" fmla="*/ 161296 w 250456"/>
            <a:gd name="connsiteY30" fmla="*/ 192380 h 209869"/>
            <a:gd name="connsiteX31" fmla="*/ 149370 w 250456"/>
            <a:gd name="connsiteY31" fmla="*/ 191797 h 209869"/>
            <a:gd name="connsiteX32" fmla="*/ 149370 w 250456"/>
            <a:gd name="connsiteY32" fmla="*/ 180721 h 209869"/>
            <a:gd name="connsiteX33" fmla="*/ 155333 w 250456"/>
            <a:gd name="connsiteY33" fmla="*/ 180721 h 209869"/>
            <a:gd name="connsiteX34" fmla="*/ 161296 w 250456"/>
            <a:gd name="connsiteY34" fmla="*/ 180721 h 209869"/>
            <a:gd name="connsiteX35" fmla="*/ 161296 w 250456"/>
            <a:gd name="connsiteY35" fmla="*/ 192380 h 209869"/>
            <a:gd name="connsiteX36" fmla="*/ 137444 w 250456"/>
            <a:gd name="connsiteY36" fmla="*/ 150989 h 209869"/>
            <a:gd name="connsiteX37" fmla="*/ 149370 w 250456"/>
            <a:gd name="connsiteY37" fmla="*/ 151572 h 209869"/>
            <a:gd name="connsiteX38" fmla="*/ 149370 w 250456"/>
            <a:gd name="connsiteY38" fmla="*/ 163232 h 209869"/>
            <a:gd name="connsiteX39" fmla="*/ 137444 w 250456"/>
            <a:gd name="connsiteY39" fmla="*/ 162649 h 209869"/>
            <a:gd name="connsiteX40" fmla="*/ 137444 w 250456"/>
            <a:gd name="connsiteY40" fmla="*/ 150989 h 209869"/>
            <a:gd name="connsiteX41" fmla="*/ 137444 w 250456"/>
            <a:gd name="connsiteY41" fmla="*/ 190340 h 209869"/>
            <a:gd name="connsiteX42" fmla="*/ 125519 w 250456"/>
            <a:gd name="connsiteY42" fmla="*/ 188300 h 209869"/>
            <a:gd name="connsiteX43" fmla="*/ 125519 w 250456"/>
            <a:gd name="connsiteY43" fmla="*/ 178972 h 209869"/>
            <a:gd name="connsiteX44" fmla="*/ 137444 w 250456"/>
            <a:gd name="connsiteY44" fmla="*/ 180138 h 209869"/>
            <a:gd name="connsiteX45" fmla="*/ 137444 w 250456"/>
            <a:gd name="connsiteY45" fmla="*/ 190340 h 209869"/>
            <a:gd name="connsiteX46" fmla="*/ 113593 w 250456"/>
            <a:gd name="connsiteY46" fmla="*/ 159151 h 209869"/>
            <a:gd name="connsiteX47" fmla="*/ 113593 w 250456"/>
            <a:gd name="connsiteY47" fmla="*/ 147783 h 209869"/>
            <a:gd name="connsiteX48" fmla="*/ 125519 w 250456"/>
            <a:gd name="connsiteY48" fmla="*/ 149532 h 209869"/>
            <a:gd name="connsiteX49" fmla="*/ 125519 w 250456"/>
            <a:gd name="connsiteY49" fmla="*/ 161191 h 209869"/>
            <a:gd name="connsiteX50" fmla="*/ 113593 w 250456"/>
            <a:gd name="connsiteY50" fmla="*/ 159151 h 209869"/>
            <a:gd name="connsiteX51" fmla="*/ 113593 w 250456"/>
            <a:gd name="connsiteY51" fmla="*/ 184802 h 209869"/>
            <a:gd name="connsiteX52" fmla="*/ 101667 w 250456"/>
            <a:gd name="connsiteY52" fmla="*/ 174891 h 209869"/>
            <a:gd name="connsiteX53" fmla="*/ 101667 w 250456"/>
            <a:gd name="connsiteY53" fmla="*/ 174308 h 209869"/>
            <a:gd name="connsiteX54" fmla="*/ 101965 w 250456"/>
            <a:gd name="connsiteY54" fmla="*/ 174308 h 209869"/>
            <a:gd name="connsiteX55" fmla="*/ 104350 w 250456"/>
            <a:gd name="connsiteY55" fmla="*/ 174891 h 209869"/>
            <a:gd name="connsiteX56" fmla="*/ 113593 w 250456"/>
            <a:gd name="connsiteY56" fmla="*/ 176932 h 209869"/>
            <a:gd name="connsiteX57" fmla="*/ 113593 w 250456"/>
            <a:gd name="connsiteY57" fmla="*/ 184802 h 209869"/>
            <a:gd name="connsiteX58" fmla="*/ 65890 w 250456"/>
            <a:gd name="connsiteY58" fmla="*/ 145160 h 209869"/>
            <a:gd name="connsiteX59" fmla="*/ 71853 w 250456"/>
            <a:gd name="connsiteY59" fmla="*/ 145451 h 209869"/>
            <a:gd name="connsiteX60" fmla="*/ 71853 w 250456"/>
            <a:gd name="connsiteY60" fmla="*/ 145743 h 209869"/>
            <a:gd name="connsiteX61" fmla="*/ 74834 w 250456"/>
            <a:gd name="connsiteY61" fmla="*/ 157111 h 209869"/>
            <a:gd name="connsiteX62" fmla="*/ 65890 w 250456"/>
            <a:gd name="connsiteY62" fmla="*/ 156528 h 209869"/>
            <a:gd name="connsiteX63" fmla="*/ 65890 w 250456"/>
            <a:gd name="connsiteY63" fmla="*/ 145160 h 209869"/>
            <a:gd name="connsiteX64" fmla="*/ 53964 w 250456"/>
            <a:gd name="connsiteY64" fmla="*/ 110181 h 209869"/>
            <a:gd name="connsiteX65" fmla="*/ 65890 w 250456"/>
            <a:gd name="connsiteY65" fmla="*/ 111930 h 209869"/>
            <a:gd name="connsiteX66" fmla="*/ 65890 w 250456"/>
            <a:gd name="connsiteY66" fmla="*/ 123590 h 209869"/>
            <a:gd name="connsiteX67" fmla="*/ 53964 w 250456"/>
            <a:gd name="connsiteY67" fmla="*/ 121549 h 209869"/>
            <a:gd name="connsiteX68" fmla="*/ 53964 w 250456"/>
            <a:gd name="connsiteY68" fmla="*/ 110181 h 209869"/>
            <a:gd name="connsiteX69" fmla="*/ 53964 w 250456"/>
            <a:gd name="connsiteY69" fmla="*/ 155362 h 209869"/>
            <a:gd name="connsiteX70" fmla="*/ 42038 w 250456"/>
            <a:gd name="connsiteY70" fmla="*/ 153321 h 209869"/>
            <a:gd name="connsiteX71" fmla="*/ 42038 w 250456"/>
            <a:gd name="connsiteY71" fmla="*/ 141953 h 209869"/>
            <a:gd name="connsiteX72" fmla="*/ 53964 w 250456"/>
            <a:gd name="connsiteY72" fmla="*/ 143702 h 209869"/>
            <a:gd name="connsiteX73" fmla="*/ 53964 w 250456"/>
            <a:gd name="connsiteY73" fmla="*/ 155362 h 209869"/>
            <a:gd name="connsiteX74" fmla="*/ 30113 w 250456"/>
            <a:gd name="connsiteY74" fmla="*/ 107850 h 209869"/>
            <a:gd name="connsiteX75" fmla="*/ 30113 w 250456"/>
            <a:gd name="connsiteY75" fmla="*/ 102603 h 209869"/>
            <a:gd name="connsiteX76" fmla="*/ 42038 w 250456"/>
            <a:gd name="connsiteY76" fmla="*/ 106975 h 209869"/>
            <a:gd name="connsiteX77" fmla="*/ 42038 w 250456"/>
            <a:gd name="connsiteY77" fmla="*/ 117760 h 209869"/>
            <a:gd name="connsiteX78" fmla="*/ 30113 w 250456"/>
            <a:gd name="connsiteY78" fmla="*/ 107850 h 209869"/>
            <a:gd name="connsiteX79" fmla="*/ 30113 w 250456"/>
            <a:gd name="connsiteY79" fmla="*/ 149824 h 209869"/>
            <a:gd name="connsiteX80" fmla="*/ 18187 w 250456"/>
            <a:gd name="connsiteY80" fmla="*/ 139913 h 209869"/>
            <a:gd name="connsiteX81" fmla="*/ 18187 w 250456"/>
            <a:gd name="connsiteY81" fmla="*/ 134666 h 209869"/>
            <a:gd name="connsiteX82" fmla="*/ 30113 w 250456"/>
            <a:gd name="connsiteY82" fmla="*/ 139039 h 209869"/>
            <a:gd name="connsiteX83" fmla="*/ 30113 w 250456"/>
            <a:gd name="connsiteY83" fmla="*/ 149824 h 209869"/>
            <a:gd name="connsiteX84" fmla="*/ 18187 w 250456"/>
            <a:gd name="connsiteY84" fmla="*/ 58880 h 209869"/>
            <a:gd name="connsiteX85" fmla="*/ 30113 w 250456"/>
            <a:gd name="connsiteY85" fmla="*/ 63252 h 209869"/>
            <a:gd name="connsiteX86" fmla="*/ 30113 w 250456"/>
            <a:gd name="connsiteY86" fmla="*/ 74037 h 209869"/>
            <a:gd name="connsiteX87" fmla="*/ 18187 w 250456"/>
            <a:gd name="connsiteY87" fmla="*/ 64127 h 209869"/>
            <a:gd name="connsiteX88" fmla="*/ 18187 w 250456"/>
            <a:gd name="connsiteY88" fmla="*/ 58880 h 209869"/>
            <a:gd name="connsiteX89" fmla="*/ 53964 w 250456"/>
            <a:gd name="connsiteY89" fmla="*/ 68208 h 209869"/>
            <a:gd name="connsiteX90" fmla="*/ 53964 w 250456"/>
            <a:gd name="connsiteY90" fmla="*/ 79867 h 209869"/>
            <a:gd name="connsiteX91" fmla="*/ 42038 w 250456"/>
            <a:gd name="connsiteY91" fmla="*/ 77827 h 209869"/>
            <a:gd name="connsiteX92" fmla="*/ 42038 w 250456"/>
            <a:gd name="connsiteY92" fmla="*/ 66459 h 209869"/>
            <a:gd name="connsiteX93" fmla="*/ 53964 w 250456"/>
            <a:gd name="connsiteY93" fmla="*/ 68208 h 209869"/>
            <a:gd name="connsiteX94" fmla="*/ 83778 w 250456"/>
            <a:gd name="connsiteY94" fmla="*/ 17489 h 209869"/>
            <a:gd name="connsiteX95" fmla="*/ 149370 w 250456"/>
            <a:gd name="connsiteY95" fmla="*/ 34978 h 209869"/>
            <a:gd name="connsiteX96" fmla="*/ 83778 w 250456"/>
            <a:gd name="connsiteY96" fmla="*/ 52467 h 209869"/>
            <a:gd name="connsiteX97" fmla="*/ 18187 w 250456"/>
            <a:gd name="connsiteY97" fmla="*/ 34978 h 209869"/>
            <a:gd name="connsiteX98" fmla="*/ 83778 w 250456"/>
            <a:gd name="connsiteY98" fmla="*/ 17489 h 209869"/>
            <a:gd name="connsiteX99" fmla="*/ 101667 w 250456"/>
            <a:gd name="connsiteY99" fmla="*/ 155653 h 209869"/>
            <a:gd name="connsiteX100" fmla="*/ 89741 w 250456"/>
            <a:gd name="connsiteY100" fmla="*/ 145743 h 209869"/>
            <a:gd name="connsiteX101" fmla="*/ 89741 w 250456"/>
            <a:gd name="connsiteY101" fmla="*/ 140496 h 209869"/>
            <a:gd name="connsiteX102" fmla="*/ 101667 w 250456"/>
            <a:gd name="connsiteY102" fmla="*/ 144868 h 209869"/>
            <a:gd name="connsiteX103" fmla="*/ 101667 w 250456"/>
            <a:gd name="connsiteY103" fmla="*/ 155653 h 209869"/>
            <a:gd name="connsiteX104" fmla="*/ 137444 w 250456"/>
            <a:gd name="connsiteY104" fmla="*/ 74037 h 209869"/>
            <a:gd name="connsiteX105" fmla="*/ 137444 w 250456"/>
            <a:gd name="connsiteY105" fmla="*/ 63544 h 209869"/>
            <a:gd name="connsiteX106" fmla="*/ 149370 w 250456"/>
            <a:gd name="connsiteY106" fmla="*/ 58880 h 209869"/>
            <a:gd name="connsiteX107" fmla="*/ 149370 w 250456"/>
            <a:gd name="connsiteY107" fmla="*/ 64127 h 209869"/>
            <a:gd name="connsiteX108" fmla="*/ 137444 w 250456"/>
            <a:gd name="connsiteY108" fmla="*/ 74037 h 209869"/>
            <a:gd name="connsiteX109" fmla="*/ 113593 w 250456"/>
            <a:gd name="connsiteY109" fmla="*/ 79576 h 209869"/>
            <a:gd name="connsiteX110" fmla="*/ 113593 w 250456"/>
            <a:gd name="connsiteY110" fmla="*/ 68208 h 209869"/>
            <a:gd name="connsiteX111" fmla="*/ 125519 w 250456"/>
            <a:gd name="connsiteY111" fmla="*/ 66459 h 209869"/>
            <a:gd name="connsiteX112" fmla="*/ 125519 w 250456"/>
            <a:gd name="connsiteY112" fmla="*/ 77535 h 209869"/>
            <a:gd name="connsiteX113" fmla="*/ 113593 w 250456"/>
            <a:gd name="connsiteY113" fmla="*/ 79576 h 209869"/>
            <a:gd name="connsiteX114" fmla="*/ 89741 w 250456"/>
            <a:gd name="connsiteY114" fmla="*/ 81616 h 209869"/>
            <a:gd name="connsiteX115" fmla="*/ 89741 w 250456"/>
            <a:gd name="connsiteY115" fmla="*/ 69957 h 209869"/>
            <a:gd name="connsiteX116" fmla="*/ 101667 w 250456"/>
            <a:gd name="connsiteY116" fmla="*/ 69374 h 209869"/>
            <a:gd name="connsiteX117" fmla="*/ 101667 w 250456"/>
            <a:gd name="connsiteY117" fmla="*/ 81033 h 209869"/>
            <a:gd name="connsiteX118" fmla="*/ 89741 w 250456"/>
            <a:gd name="connsiteY118" fmla="*/ 81616 h 209869"/>
            <a:gd name="connsiteX119" fmla="*/ 65890 w 250456"/>
            <a:gd name="connsiteY119" fmla="*/ 81033 h 209869"/>
            <a:gd name="connsiteX120" fmla="*/ 65890 w 250456"/>
            <a:gd name="connsiteY120" fmla="*/ 69374 h 209869"/>
            <a:gd name="connsiteX121" fmla="*/ 77816 w 250456"/>
            <a:gd name="connsiteY121" fmla="*/ 69957 h 209869"/>
            <a:gd name="connsiteX122" fmla="*/ 77816 w 250456"/>
            <a:gd name="connsiteY122" fmla="*/ 81616 h 209869"/>
            <a:gd name="connsiteX123" fmla="*/ 65890 w 250456"/>
            <a:gd name="connsiteY123" fmla="*/ 81033 h 209869"/>
            <a:gd name="connsiteX124" fmla="*/ 220925 w 250456"/>
            <a:gd name="connsiteY124" fmla="*/ 116594 h 209869"/>
            <a:gd name="connsiteX125" fmla="*/ 155333 w 250456"/>
            <a:gd name="connsiteY125" fmla="*/ 134083 h 209869"/>
            <a:gd name="connsiteX126" fmla="*/ 89741 w 250456"/>
            <a:gd name="connsiteY126" fmla="*/ 116594 h 209869"/>
            <a:gd name="connsiteX127" fmla="*/ 155333 w 250456"/>
            <a:gd name="connsiteY127" fmla="*/ 99105 h 209869"/>
            <a:gd name="connsiteX128" fmla="*/ 220925 w 250456"/>
            <a:gd name="connsiteY128" fmla="*/ 116594 h 209869"/>
            <a:gd name="connsiteX129" fmla="*/ 238813 w 250456"/>
            <a:gd name="connsiteY129" fmla="*/ 125339 h 209869"/>
            <a:gd name="connsiteX130" fmla="*/ 238813 w 250456"/>
            <a:gd name="connsiteY130" fmla="*/ 116594 h 209869"/>
            <a:gd name="connsiteX131" fmla="*/ 206315 w 250456"/>
            <a:gd name="connsiteY131" fmla="*/ 87446 h 209869"/>
            <a:gd name="connsiteX132" fmla="*/ 178588 w 250456"/>
            <a:gd name="connsiteY132" fmla="*/ 82782 h 209869"/>
            <a:gd name="connsiteX133" fmla="*/ 178886 w 250456"/>
            <a:gd name="connsiteY133" fmla="*/ 78701 h 209869"/>
            <a:gd name="connsiteX134" fmla="*/ 166961 w 250456"/>
            <a:gd name="connsiteY134" fmla="*/ 58297 h 209869"/>
            <a:gd name="connsiteX135" fmla="*/ 166961 w 250456"/>
            <a:gd name="connsiteY135" fmla="*/ 34978 h 209869"/>
            <a:gd name="connsiteX136" fmla="*/ 134463 w 250456"/>
            <a:gd name="connsiteY136" fmla="*/ 5830 h 209869"/>
            <a:gd name="connsiteX137" fmla="*/ 83480 w 250456"/>
            <a:gd name="connsiteY137" fmla="*/ 0 h 209869"/>
            <a:gd name="connsiteX138" fmla="*/ 0 w 250456"/>
            <a:gd name="connsiteY138" fmla="*/ 34978 h 209869"/>
            <a:gd name="connsiteX139" fmla="*/ 0 w 250456"/>
            <a:gd name="connsiteY139" fmla="*/ 64127 h 209869"/>
            <a:gd name="connsiteX140" fmla="*/ 11926 w 250456"/>
            <a:gd name="connsiteY140" fmla="*/ 84531 h 209869"/>
            <a:gd name="connsiteX141" fmla="*/ 11926 w 250456"/>
            <a:gd name="connsiteY141" fmla="*/ 90069 h 209869"/>
            <a:gd name="connsiteX142" fmla="*/ 0 w 250456"/>
            <a:gd name="connsiteY142" fmla="*/ 110764 h 209869"/>
            <a:gd name="connsiteX143" fmla="*/ 0 w 250456"/>
            <a:gd name="connsiteY143" fmla="*/ 139913 h 209869"/>
            <a:gd name="connsiteX144" fmla="*/ 32498 w 250456"/>
            <a:gd name="connsiteY144" fmla="*/ 169062 h 209869"/>
            <a:gd name="connsiteX145" fmla="*/ 83480 w 250456"/>
            <a:gd name="connsiteY145" fmla="*/ 174891 h 209869"/>
            <a:gd name="connsiteX146" fmla="*/ 115978 w 250456"/>
            <a:gd name="connsiteY146" fmla="*/ 204040 h 209869"/>
            <a:gd name="connsiteX147" fmla="*/ 166961 w 250456"/>
            <a:gd name="connsiteY147" fmla="*/ 209870 h 209869"/>
            <a:gd name="connsiteX148" fmla="*/ 250441 w 250456"/>
            <a:gd name="connsiteY148" fmla="*/ 174891 h 209869"/>
            <a:gd name="connsiteX149" fmla="*/ 250441 w 250456"/>
            <a:gd name="connsiteY149" fmla="*/ 145743 h 209869"/>
            <a:gd name="connsiteX150" fmla="*/ 238813 w 250456"/>
            <a:gd name="connsiteY150" fmla="*/ 125339 h 20986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Lst>
          <a:rect l="l" t="t" r="r" b="b"/>
          <a:pathLst>
            <a:path w="250456" h="209869">
              <a:moveTo>
                <a:pt x="232850" y="174891"/>
              </a:moveTo>
              <a:cubicBezTo>
                <a:pt x="232850" y="178681"/>
                <a:pt x="228378" y="182178"/>
                <a:pt x="220925" y="184802"/>
              </a:cubicBezTo>
              <a:lnTo>
                <a:pt x="220925" y="174308"/>
              </a:lnTo>
              <a:cubicBezTo>
                <a:pt x="225099" y="173142"/>
                <a:pt x="229273" y="171393"/>
                <a:pt x="232850" y="169645"/>
              </a:cubicBezTo>
              <a:lnTo>
                <a:pt x="232850" y="174891"/>
              </a:lnTo>
              <a:close/>
              <a:moveTo>
                <a:pt x="208999" y="155653"/>
              </a:moveTo>
              <a:lnTo>
                <a:pt x="208999" y="145160"/>
              </a:lnTo>
              <a:cubicBezTo>
                <a:pt x="213173" y="143994"/>
                <a:pt x="217347" y="142245"/>
                <a:pt x="220925" y="140496"/>
              </a:cubicBezTo>
              <a:lnTo>
                <a:pt x="220925" y="145743"/>
              </a:lnTo>
              <a:cubicBezTo>
                <a:pt x="220925" y="149532"/>
                <a:pt x="216452" y="153030"/>
                <a:pt x="208999" y="155653"/>
              </a:cubicBezTo>
              <a:close/>
              <a:moveTo>
                <a:pt x="208999" y="188300"/>
              </a:moveTo>
              <a:cubicBezTo>
                <a:pt x="205421" y="189174"/>
                <a:pt x="201247" y="189757"/>
                <a:pt x="197073" y="190340"/>
              </a:cubicBezTo>
              <a:lnTo>
                <a:pt x="197073" y="178972"/>
              </a:lnTo>
              <a:cubicBezTo>
                <a:pt x="200949" y="178389"/>
                <a:pt x="205123" y="177806"/>
                <a:pt x="208999" y="177223"/>
              </a:cubicBezTo>
              <a:lnTo>
                <a:pt x="208999" y="188300"/>
              </a:lnTo>
              <a:close/>
              <a:moveTo>
                <a:pt x="185147" y="149824"/>
              </a:moveTo>
              <a:cubicBezTo>
                <a:pt x="189023" y="149241"/>
                <a:pt x="193197" y="148658"/>
                <a:pt x="197073" y="148075"/>
              </a:cubicBezTo>
              <a:lnTo>
                <a:pt x="197073" y="159151"/>
              </a:lnTo>
              <a:cubicBezTo>
                <a:pt x="193495" y="160026"/>
                <a:pt x="189321" y="160608"/>
                <a:pt x="185147" y="161191"/>
              </a:cubicBezTo>
              <a:lnTo>
                <a:pt x="185147" y="149824"/>
              </a:lnTo>
              <a:close/>
              <a:moveTo>
                <a:pt x="185147" y="191797"/>
              </a:moveTo>
              <a:cubicBezTo>
                <a:pt x="181271" y="192089"/>
                <a:pt x="177396" y="192380"/>
                <a:pt x="173222" y="192380"/>
              </a:cubicBezTo>
              <a:lnTo>
                <a:pt x="173222" y="180721"/>
              </a:lnTo>
              <a:cubicBezTo>
                <a:pt x="176799" y="180721"/>
                <a:pt x="180973" y="180429"/>
                <a:pt x="185147" y="180138"/>
              </a:cubicBezTo>
              <a:lnTo>
                <a:pt x="185147" y="191797"/>
              </a:lnTo>
              <a:close/>
              <a:moveTo>
                <a:pt x="161296" y="163232"/>
              </a:moveTo>
              <a:lnTo>
                <a:pt x="161296" y="151572"/>
              </a:lnTo>
              <a:cubicBezTo>
                <a:pt x="164874" y="151572"/>
                <a:pt x="169048" y="151281"/>
                <a:pt x="173222" y="150989"/>
              </a:cubicBezTo>
              <a:lnTo>
                <a:pt x="173222" y="162649"/>
              </a:lnTo>
              <a:cubicBezTo>
                <a:pt x="169346" y="162940"/>
                <a:pt x="165470" y="162940"/>
                <a:pt x="161296" y="163232"/>
              </a:cubicBezTo>
              <a:close/>
              <a:moveTo>
                <a:pt x="161296" y="192380"/>
              </a:moveTo>
              <a:cubicBezTo>
                <a:pt x="157122" y="192380"/>
                <a:pt x="153246" y="192089"/>
                <a:pt x="149370" y="191797"/>
              </a:cubicBezTo>
              <a:lnTo>
                <a:pt x="149370" y="180721"/>
              </a:lnTo>
              <a:cubicBezTo>
                <a:pt x="151457" y="180721"/>
                <a:pt x="153246" y="180721"/>
                <a:pt x="155333" y="180721"/>
              </a:cubicBezTo>
              <a:cubicBezTo>
                <a:pt x="157122" y="180721"/>
                <a:pt x="159209" y="180721"/>
                <a:pt x="161296" y="180721"/>
              </a:cubicBezTo>
              <a:lnTo>
                <a:pt x="161296" y="192380"/>
              </a:lnTo>
              <a:close/>
              <a:moveTo>
                <a:pt x="137444" y="150989"/>
              </a:moveTo>
              <a:cubicBezTo>
                <a:pt x="141320" y="151281"/>
                <a:pt x="145196" y="151572"/>
                <a:pt x="149370" y="151572"/>
              </a:cubicBezTo>
              <a:lnTo>
                <a:pt x="149370" y="163232"/>
              </a:lnTo>
              <a:cubicBezTo>
                <a:pt x="145196" y="163232"/>
                <a:pt x="141320" y="162940"/>
                <a:pt x="137444" y="162649"/>
              </a:cubicBezTo>
              <a:lnTo>
                <a:pt x="137444" y="150989"/>
              </a:lnTo>
              <a:close/>
              <a:moveTo>
                <a:pt x="137444" y="190340"/>
              </a:moveTo>
              <a:cubicBezTo>
                <a:pt x="133270" y="189757"/>
                <a:pt x="129096" y="189174"/>
                <a:pt x="125519" y="188300"/>
              </a:cubicBezTo>
              <a:lnTo>
                <a:pt x="125519" y="178972"/>
              </a:lnTo>
              <a:cubicBezTo>
                <a:pt x="129394" y="179555"/>
                <a:pt x="133270" y="179847"/>
                <a:pt x="137444" y="180138"/>
              </a:cubicBezTo>
              <a:lnTo>
                <a:pt x="137444" y="190340"/>
              </a:lnTo>
              <a:close/>
              <a:moveTo>
                <a:pt x="113593" y="159151"/>
              </a:moveTo>
              <a:lnTo>
                <a:pt x="113593" y="147783"/>
              </a:lnTo>
              <a:cubicBezTo>
                <a:pt x="117469" y="148366"/>
                <a:pt x="121345" y="149241"/>
                <a:pt x="125519" y="149532"/>
              </a:cubicBezTo>
              <a:lnTo>
                <a:pt x="125519" y="161191"/>
              </a:lnTo>
              <a:cubicBezTo>
                <a:pt x="121345" y="160608"/>
                <a:pt x="117170" y="160026"/>
                <a:pt x="113593" y="159151"/>
              </a:cubicBezTo>
              <a:close/>
              <a:moveTo>
                <a:pt x="113593" y="184802"/>
              </a:moveTo>
              <a:cubicBezTo>
                <a:pt x="106139" y="181887"/>
                <a:pt x="101667" y="178389"/>
                <a:pt x="101667" y="174891"/>
              </a:cubicBezTo>
              <a:lnTo>
                <a:pt x="101667" y="174308"/>
              </a:lnTo>
              <a:cubicBezTo>
                <a:pt x="101667" y="174308"/>
                <a:pt x="101667" y="174308"/>
                <a:pt x="101965" y="174308"/>
              </a:cubicBezTo>
              <a:cubicBezTo>
                <a:pt x="102860" y="174600"/>
                <a:pt x="103456" y="174891"/>
                <a:pt x="104350" y="174891"/>
              </a:cubicBezTo>
              <a:cubicBezTo>
                <a:pt x="107332" y="175766"/>
                <a:pt x="110313" y="176349"/>
                <a:pt x="113593" y="176932"/>
              </a:cubicBezTo>
              <a:lnTo>
                <a:pt x="113593" y="184802"/>
              </a:lnTo>
              <a:close/>
              <a:moveTo>
                <a:pt x="65890" y="145160"/>
              </a:moveTo>
              <a:cubicBezTo>
                <a:pt x="67977" y="145160"/>
                <a:pt x="69766" y="145451"/>
                <a:pt x="71853" y="145451"/>
              </a:cubicBezTo>
              <a:lnTo>
                <a:pt x="71853" y="145743"/>
              </a:lnTo>
              <a:cubicBezTo>
                <a:pt x="71853" y="149824"/>
                <a:pt x="72747" y="153904"/>
                <a:pt x="74834" y="157111"/>
              </a:cubicBezTo>
              <a:cubicBezTo>
                <a:pt x="71853" y="157111"/>
                <a:pt x="68871" y="156819"/>
                <a:pt x="65890" y="156528"/>
              </a:cubicBezTo>
              <a:lnTo>
                <a:pt x="65890" y="145160"/>
              </a:lnTo>
              <a:close/>
              <a:moveTo>
                <a:pt x="53964" y="110181"/>
              </a:moveTo>
              <a:cubicBezTo>
                <a:pt x="57840" y="110764"/>
                <a:pt x="61716" y="111639"/>
                <a:pt x="65890" y="111930"/>
              </a:cubicBezTo>
              <a:lnTo>
                <a:pt x="65890" y="123590"/>
              </a:lnTo>
              <a:cubicBezTo>
                <a:pt x="61716" y="123007"/>
                <a:pt x="57542" y="122424"/>
                <a:pt x="53964" y="121549"/>
              </a:cubicBezTo>
              <a:lnTo>
                <a:pt x="53964" y="110181"/>
              </a:lnTo>
              <a:close/>
              <a:moveTo>
                <a:pt x="53964" y="155362"/>
              </a:moveTo>
              <a:cubicBezTo>
                <a:pt x="49790" y="154779"/>
                <a:pt x="45616" y="154196"/>
                <a:pt x="42038" y="153321"/>
              </a:cubicBezTo>
              <a:lnTo>
                <a:pt x="42038" y="141953"/>
              </a:lnTo>
              <a:cubicBezTo>
                <a:pt x="45914" y="142536"/>
                <a:pt x="49790" y="143411"/>
                <a:pt x="53964" y="143702"/>
              </a:cubicBezTo>
              <a:lnTo>
                <a:pt x="53964" y="155362"/>
              </a:lnTo>
              <a:close/>
              <a:moveTo>
                <a:pt x="30113" y="107850"/>
              </a:moveTo>
              <a:lnTo>
                <a:pt x="30113" y="102603"/>
              </a:lnTo>
              <a:cubicBezTo>
                <a:pt x="33690" y="104352"/>
                <a:pt x="37566" y="105809"/>
                <a:pt x="42038" y="106975"/>
              </a:cubicBezTo>
              <a:lnTo>
                <a:pt x="42038" y="117760"/>
              </a:lnTo>
              <a:cubicBezTo>
                <a:pt x="34585" y="115137"/>
                <a:pt x="30113" y="111639"/>
                <a:pt x="30113" y="107850"/>
              </a:cubicBezTo>
              <a:close/>
              <a:moveTo>
                <a:pt x="30113" y="149824"/>
              </a:moveTo>
              <a:cubicBezTo>
                <a:pt x="22659" y="146909"/>
                <a:pt x="18187" y="143411"/>
                <a:pt x="18187" y="139913"/>
              </a:cubicBezTo>
              <a:lnTo>
                <a:pt x="18187" y="134666"/>
              </a:lnTo>
              <a:cubicBezTo>
                <a:pt x="21764" y="136415"/>
                <a:pt x="25640" y="137873"/>
                <a:pt x="30113" y="139039"/>
              </a:cubicBezTo>
              <a:lnTo>
                <a:pt x="30113" y="149824"/>
              </a:lnTo>
              <a:close/>
              <a:moveTo>
                <a:pt x="18187" y="58880"/>
              </a:moveTo>
              <a:cubicBezTo>
                <a:pt x="21764" y="60629"/>
                <a:pt x="25640" y="62086"/>
                <a:pt x="30113" y="63252"/>
              </a:cubicBezTo>
              <a:lnTo>
                <a:pt x="30113" y="74037"/>
              </a:lnTo>
              <a:cubicBezTo>
                <a:pt x="22659" y="71122"/>
                <a:pt x="18187" y="67625"/>
                <a:pt x="18187" y="64127"/>
              </a:cubicBezTo>
              <a:lnTo>
                <a:pt x="18187" y="58880"/>
              </a:lnTo>
              <a:close/>
              <a:moveTo>
                <a:pt x="53964" y="68208"/>
              </a:moveTo>
              <a:lnTo>
                <a:pt x="53964" y="79867"/>
              </a:lnTo>
              <a:cubicBezTo>
                <a:pt x="49790" y="79284"/>
                <a:pt x="45616" y="78701"/>
                <a:pt x="42038" y="77827"/>
              </a:cubicBezTo>
              <a:lnTo>
                <a:pt x="42038" y="66459"/>
              </a:lnTo>
              <a:cubicBezTo>
                <a:pt x="45914" y="67042"/>
                <a:pt x="49790" y="67625"/>
                <a:pt x="53964" y="68208"/>
              </a:cubicBezTo>
              <a:close/>
              <a:moveTo>
                <a:pt x="83778" y="17489"/>
              </a:moveTo>
              <a:cubicBezTo>
                <a:pt x="120152" y="17489"/>
                <a:pt x="149370" y="25359"/>
                <a:pt x="149370" y="34978"/>
              </a:cubicBezTo>
              <a:cubicBezTo>
                <a:pt x="149370" y="44597"/>
                <a:pt x="120152" y="52467"/>
                <a:pt x="83778" y="52467"/>
              </a:cubicBezTo>
              <a:cubicBezTo>
                <a:pt x="47405" y="52467"/>
                <a:pt x="18187" y="44597"/>
                <a:pt x="18187" y="34978"/>
              </a:cubicBezTo>
              <a:cubicBezTo>
                <a:pt x="18187" y="25359"/>
                <a:pt x="47405" y="17489"/>
                <a:pt x="83778" y="17489"/>
              </a:cubicBezTo>
              <a:close/>
              <a:moveTo>
                <a:pt x="101667" y="155653"/>
              </a:moveTo>
              <a:cubicBezTo>
                <a:pt x="94213" y="152738"/>
                <a:pt x="89741" y="149241"/>
                <a:pt x="89741" y="145743"/>
              </a:cubicBezTo>
              <a:lnTo>
                <a:pt x="89741" y="140496"/>
              </a:lnTo>
              <a:cubicBezTo>
                <a:pt x="93319" y="142245"/>
                <a:pt x="97195" y="143702"/>
                <a:pt x="101667" y="144868"/>
              </a:cubicBezTo>
              <a:lnTo>
                <a:pt x="101667" y="155653"/>
              </a:lnTo>
              <a:close/>
              <a:moveTo>
                <a:pt x="137444" y="74037"/>
              </a:moveTo>
              <a:lnTo>
                <a:pt x="137444" y="63544"/>
              </a:lnTo>
              <a:cubicBezTo>
                <a:pt x="141618" y="62378"/>
                <a:pt x="145792" y="60629"/>
                <a:pt x="149370" y="58880"/>
              </a:cubicBezTo>
              <a:lnTo>
                <a:pt x="149370" y="64127"/>
              </a:lnTo>
              <a:cubicBezTo>
                <a:pt x="149370" y="67916"/>
                <a:pt x="144898" y="71414"/>
                <a:pt x="137444" y="74037"/>
              </a:cubicBezTo>
              <a:close/>
              <a:moveTo>
                <a:pt x="113593" y="79576"/>
              </a:moveTo>
              <a:lnTo>
                <a:pt x="113593" y="68208"/>
              </a:lnTo>
              <a:cubicBezTo>
                <a:pt x="117469" y="67625"/>
                <a:pt x="121643" y="67042"/>
                <a:pt x="125519" y="66459"/>
              </a:cubicBezTo>
              <a:lnTo>
                <a:pt x="125519" y="77535"/>
              </a:lnTo>
              <a:cubicBezTo>
                <a:pt x="121941" y="78410"/>
                <a:pt x="117767" y="78993"/>
                <a:pt x="113593" y="79576"/>
              </a:cubicBezTo>
              <a:close/>
              <a:moveTo>
                <a:pt x="89741" y="81616"/>
              </a:moveTo>
              <a:lnTo>
                <a:pt x="89741" y="69957"/>
              </a:lnTo>
              <a:cubicBezTo>
                <a:pt x="93319" y="69957"/>
                <a:pt x="97493" y="69665"/>
                <a:pt x="101667" y="69374"/>
              </a:cubicBezTo>
              <a:lnTo>
                <a:pt x="101667" y="81033"/>
              </a:lnTo>
              <a:cubicBezTo>
                <a:pt x="97791" y="81324"/>
                <a:pt x="93915" y="81324"/>
                <a:pt x="89741" y="81616"/>
              </a:cubicBezTo>
              <a:close/>
              <a:moveTo>
                <a:pt x="65890" y="81033"/>
              </a:moveTo>
              <a:lnTo>
                <a:pt x="65890" y="69374"/>
              </a:lnTo>
              <a:cubicBezTo>
                <a:pt x="69766" y="69665"/>
                <a:pt x="73642" y="69957"/>
                <a:pt x="77816" y="69957"/>
              </a:cubicBezTo>
              <a:lnTo>
                <a:pt x="77816" y="81616"/>
              </a:lnTo>
              <a:cubicBezTo>
                <a:pt x="73642" y="81324"/>
                <a:pt x="69766" y="81324"/>
                <a:pt x="65890" y="81033"/>
              </a:cubicBezTo>
              <a:close/>
              <a:moveTo>
                <a:pt x="220925" y="116594"/>
              </a:moveTo>
              <a:cubicBezTo>
                <a:pt x="220925" y="126213"/>
                <a:pt x="191706" y="134083"/>
                <a:pt x="155333" y="134083"/>
              </a:cubicBezTo>
              <a:cubicBezTo>
                <a:pt x="118959" y="134083"/>
                <a:pt x="89741" y="126213"/>
                <a:pt x="89741" y="116594"/>
              </a:cubicBezTo>
              <a:cubicBezTo>
                <a:pt x="89741" y="106975"/>
                <a:pt x="118959" y="99105"/>
                <a:pt x="155333" y="99105"/>
              </a:cubicBezTo>
              <a:cubicBezTo>
                <a:pt x="191706" y="99105"/>
                <a:pt x="220925" y="106975"/>
                <a:pt x="220925" y="116594"/>
              </a:cubicBezTo>
              <a:close/>
              <a:moveTo>
                <a:pt x="238813" y="125339"/>
              </a:moveTo>
              <a:lnTo>
                <a:pt x="238813" y="116594"/>
              </a:lnTo>
              <a:cubicBezTo>
                <a:pt x="238813" y="102894"/>
                <a:pt x="227782" y="92984"/>
                <a:pt x="206315" y="87446"/>
              </a:cubicBezTo>
              <a:cubicBezTo>
                <a:pt x="198266" y="85405"/>
                <a:pt x="189023" y="83656"/>
                <a:pt x="178588" y="82782"/>
              </a:cubicBezTo>
              <a:cubicBezTo>
                <a:pt x="178886" y="81616"/>
                <a:pt x="178886" y="80158"/>
                <a:pt x="178886" y="78701"/>
              </a:cubicBezTo>
              <a:cubicBezTo>
                <a:pt x="178886" y="70539"/>
                <a:pt x="175010" y="63544"/>
                <a:pt x="166961" y="58297"/>
              </a:cubicBezTo>
              <a:lnTo>
                <a:pt x="166961" y="34978"/>
              </a:lnTo>
              <a:cubicBezTo>
                <a:pt x="166961" y="21278"/>
                <a:pt x="155929" y="11368"/>
                <a:pt x="134463" y="5830"/>
              </a:cubicBezTo>
              <a:cubicBezTo>
                <a:pt x="120450" y="2040"/>
                <a:pt x="102561" y="0"/>
                <a:pt x="83480" y="0"/>
              </a:cubicBezTo>
              <a:cubicBezTo>
                <a:pt x="58436" y="0"/>
                <a:pt x="0" y="3498"/>
                <a:pt x="0" y="34978"/>
              </a:cubicBezTo>
              <a:lnTo>
                <a:pt x="0" y="64127"/>
              </a:lnTo>
              <a:cubicBezTo>
                <a:pt x="0" y="72288"/>
                <a:pt x="3876" y="79284"/>
                <a:pt x="11926" y="84531"/>
              </a:cubicBezTo>
              <a:lnTo>
                <a:pt x="11926" y="90069"/>
              </a:lnTo>
              <a:cubicBezTo>
                <a:pt x="4770" y="95024"/>
                <a:pt x="0" y="101728"/>
                <a:pt x="0" y="110764"/>
              </a:cubicBezTo>
              <a:lnTo>
                <a:pt x="0" y="139913"/>
              </a:lnTo>
              <a:cubicBezTo>
                <a:pt x="0" y="153613"/>
                <a:pt x="11031" y="163523"/>
                <a:pt x="32498" y="169062"/>
              </a:cubicBezTo>
              <a:cubicBezTo>
                <a:pt x="46510" y="172851"/>
                <a:pt x="64399" y="174891"/>
                <a:pt x="83480" y="174891"/>
              </a:cubicBezTo>
              <a:cubicBezTo>
                <a:pt x="83480" y="188591"/>
                <a:pt x="94512" y="198502"/>
                <a:pt x="115978" y="204040"/>
              </a:cubicBezTo>
              <a:cubicBezTo>
                <a:pt x="129991" y="207829"/>
                <a:pt x="147879" y="209870"/>
                <a:pt x="166961" y="209870"/>
              </a:cubicBezTo>
              <a:cubicBezTo>
                <a:pt x="192005" y="209870"/>
                <a:pt x="250441" y="206372"/>
                <a:pt x="250441" y="174891"/>
              </a:cubicBezTo>
              <a:lnTo>
                <a:pt x="250441" y="145743"/>
              </a:lnTo>
              <a:cubicBezTo>
                <a:pt x="250739" y="137581"/>
                <a:pt x="246863" y="130585"/>
                <a:pt x="238813" y="125339"/>
              </a:cubicBezTo>
              <a:close/>
            </a:path>
          </a:pathLst>
        </a:custGeom>
        <a:solidFill>
          <a:schemeClr val="tx1"/>
        </a:solidFill>
        <a:ln w="2977" cap="flat">
          <a:noFill/>
          <a:prstDash val="solid"/>
          <a:miter/>
        </a:ln>
      </xdr:spPr>
      <xdr:txBody>
        <a:bodyPr rtlCol="0" anchor="ctr"/>
        <a:lstStyle/>
        <a:p>
          <a:endParaRPr lang="en-US"/>
        </a:p>
      </xdr:txBody>
    </xdr:sp>
    <xdr:clientData/>
  </xdr:twoCellAnchor>
  <xdr:twoCellAnchor>
    <xdr:from>
      <xdr:col>0</xdr:col>
      <xdr:colOff>50798</xdr:colOff>
      <xdr:row>0</xdr:row>
      <xdr:rowOff>59266</xdr:rowOff>
    </xdr:from>
    <xdr:to>
      <xdr:col>15</xdr:col>
      <xdr:colOff>330869</xdr:colOff>
      <xdr:row>5</xdr:row>
      <xdr:rowOff>42333</xdr:rowOff>
    </xdr:to>
    <xdr:sp macro="" textlink="">
      <xdr:nvSpPr>
        <xdr:cNvPr id="8" name="Rectangle: Rounded Corners 7">
          <a:extLst>
            <a:ext uri="{FF2B5EF4-FFF2-40B4-BE49-F238E27FC236}">
              <a16:creationId xmlns:a16="http://schemas.microsoft.com/office/drawing/2014/main" id="{3C0A216F-0E99-4034-9816-F6A9A05752E0}"/>
            </a:ext>
          </a:extLst>
        </xdr:cNvPr>
        <xdr:cNvSpPr/>
      </xdr:nvSpPr>
      <xdr:spPr>
        <a:xfrm>
          <a:off x="50798" y="59266"/>
          <a:ext cx="13153860" cy="835304"/>
        </a:xfrm>
        <a:prstGeom prst="roundRect">
          <a:avLst/>
        </a:prstGeom>
        <a:solidFill>
          <a:schemeClr val="accent1">
            <a:lumMod val="75000"/>
          </a:schemeClr>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000" b="1">
              <a:solidFill>
                <a:schemeClr val="tx1"/>
              </a:solidFill>
            </a:rPr>
            <a:t>SALES</a:t>
          </a:r>
          <a:r>
            <a:rPr lang="en-US" sz="3000" b="1" baseline="0">
              <a:solidFill>
                <a:schemeClr val="tx1"/>
              </a:solidFill>
            </a:rPr>
            <a:t> DASHBOARD</a:t>
          </a:r>
          <a:endParaRPr lang="en-US" sz="3000" b="1">
            <a:solidFill>
              <a:schemeClr val="tx1"/>
            </a:solidFill>
          </a:endParaRPr>
        </a:p>
      </xdr:txBody>
    </xdr:sp>
    <xdr:clientData/>
  </xdr:twoCellAnchor>
  <xdr:twoCellAnchor>
    <xdr:from>
      <xdr:col>2</xdr:col>
      <xdr:colOff>118532</xdr:colOff>
      <xdr:row>5</xdr:row>
      <xdr:rowOff>127001</xdr:rowOff>
    </xdr:from>
    <xdr:to>
      <xdr:col>4</xdr:col>
      <xdr:colOff>194733</xdr:colOff>
      <xdr:row>9</xdr:row>
      <xdr:rowOff>101601</xdr:rowOff>
    </xdr:to>
    <xdr:sp macro="" textlink="">
      <xdr:nvSpPr>
        <xdr:cNvPr id="12" name="Rectangle: Rounded Corners 11">
          <a:extLst>
            <a:ext uri="{FF2B5EF4-FFF2-40B4-BE49-F238E27FC236}">
              <a16:creationId xmlns:a16="http://schemas.microsoft.com/office/drawing/2014/main" id="{A56CD33E-8634-490A-89B6-B6633CD97450}"/>
            </a:ext>
          </a:extLst>
        </xdr:cNvPr>
        <xdr:cNvSpPr/>
      </xdr:nvSpPr>
      <xdr:spPr>
        <a:xfrm>
          <a:off x="2226732" y="1016001"/>
          <a:ext cx="2074334" cy="6858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33</xdr:col>
      <xdr:colOff>189831</xdr:colOff>
      <xdr:row>7</xdr:row>
      <xdr:rowOff>138586</xdr:rowOff>
    </xdr:from>
    <xdr:to>
      <xdr:col>37</xdr:col>
      <xdr:colOff>70184</xdr:colOff>
      <xdr:row>11</xdr:row>
      <xdr:rowOff>113186</xdr:rowOff>
    </xdr:to>
    <xdr:sp macro="" textlink="">
      <xdr:nvSpPr>
        <xdr:cNvPr id="13" name="Rectangle: Rounded Corners 12">
          <a:extLst>
            <a:ext uri="{FF2B5EF4-FFF2-40B4-BE49-F238E27FC236}">
              <a16:creationId xmlns:a16="http://schemas.microsoft.com/office/drawing/2014/main" id="{768E32D2-5BC2-4A2B-9D4A-7EFEC99A9CA2}"/>
            </a:ext>
          </a:extLst>
        </xdr:cNvPr>
        <xdr:cNvSpPr/>
      </xdr:nvSpPr>
      <xdr:spPr>
        <a:xfrm>
          <a:off x="25155357" y="1331718"/>
          <a:ext cx="2567406" cy="656389"/>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530945</xdr:colOff>
      <xdr:row>5</xdr:row>
      <xdr:rowOff>101600</xdr:rowOff>
    </xdr:from>
    <xdr:to>
      <xdr:col>21</xdr:col>
      <xdr:colOff>541421</xdr:colOff>
      <xdr:row>9</xdr:row>
      <xdr:rowOff>76200</xdr:rowOff>
    </xdr:to>
    <xdr:sp macro="" textlink="">
      <xdr:nvSpPr>
        <xdr:cNvPr id="14" name="Rectangle: Rounded Corners 13">
          <a:extLst>
            <a:ext uri="{FF2B5EF4-FFF2-40B4-BE49-F238E27FC236}">
              <a16:creationId xmlns:a16="http://schemas.microsoft.com/office/drawing/2014/main" id="{8DEDCF72-521F-4638-9104-F4B1594C15FC}"/>
            </a:ext>
          </a:extLst>
        </xdr:cNvPr>
        <xdr:cNvSpPr/>
      </xdr:nvSpPr>
      <xdr:spPr>
        <a:xfrm>
          <a:off x="14748261" y="953837"/>
          <a:ext cx="2697528" cy="656389"/>
        </a:xfrm>
        <a:prstGeom prst="roundRect">
          <a:avLst/>
        </a:prstGeom>
        <a:no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118533</xdr:colOff>
      <xdr:row>5</xdr:row>
      <xdr:rowOff>135466</xdr:rowOff>
    </xdr:from>
    <xdr:to>
      <xdr:col>3</xdr:col>
      <xdr:colOff>76200</xdr:colOff>
      <xdr:row>9</xdr:row>
      <xdr:rowOff>110066</xdr:rowOff>
    </xdr:to>
    <xdr:sp macro="" textlink="">
      <xdr:nvSpPr>
        <xdr:cNvPr id="16" name="Rectangle: Rounded Corners 15">
          <a:extLst>
            <a:ext uri="{FF2B5EF4-FFF2-40B4-BE49-F238E27FC236}">
              <a16:creationId xmlns:a16="http://schemas.microsoft.com/office/drawing/2014/main" id="{30F0D273-2965-4FE4-BE90-321D08675833}"/>
            </a:ext>
          </a:extLst>
        </xdr:cNvPr>
        <xdr:cNvSpPr/>
      </xdr:nvSpPr>
      <xdr:spPr>
        <a:xfrm>
          <a:off x="2226733" y="1092199"/>
          <a:ext cx="626534" cy="872067"/>
        </a:xfrm>
        <a:prstGeom prst="roundRect">
          <a:avLst>
            <a:gd name="adj" fmla="val 27478"/>
          </a:avLst>
        </a:prstGeom>
        <a:solidFill>
          <a:srgbClr val="92D050"/>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46</xdr:col>
      <xdr:colOff>874</xdr:colOff>
      <xdr:row>5</xdr:row>
      <xdr:rowOff>110067</xdr:rowOff>
    </xdr:from>
    <xdr:to>
      <xdr:col>46</xdr:col>
      <xdr:colOff>624102</xdr:colOff>
      <xdr:row>9</xdr:row>
      <xdr:rowOff>84667</xdr:rowOff>
    </xdr:to>
    <xdr:sp macro="" textlink="">
      <xdr:nvSpPr>
        <xdr:cNvPr id="17" name="Rectangle: Rounded Corners 16">
          <a:extLst>
            <a:ext uri="{FF2B5EF4-FFF2-40B4-BE49-F238E27FC236}">
              <a16:creationId xmlns:a16="http://schemas.microsoft.com/office/drawing/2014/main" id="{7FAC3C9A-5E4E-4336-8017-64A14159510B}"/>
            </a:ext>
          </a:extLst>
        </xdr:cNvPr>
        <xdr:cNvSpPr/>
      </xdr:nvSpPr>
      <xdr:spPr>
        <a:xfrm>
          <a:off x="33699321" y="962304"/>
          <a:ext cx="623228" cy="656389"/>
        </a:xfrm>
        <a:prstGeom prst="roundRect">
          <a:avLst>
            <a:gd name="adj" fmla="val 18032"/>
          </a:avLst>
        </a:prstGeom>
        <a:solidFill>
          <a:srgbClr val="92D050"/>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38</xdr:col>
      <xdr:colOff>128330</xdr:colOff>
      <xdr:row>20</xdr:row>
      <xdr:rowOff>121652</xdr:rowOff>
    </xdr:from>
    <xdr:to>
      <xdr:col>39</xdr:col>
      <xdr:colOff>99830</xdr:colOff>
      <xdr:row>24</xdr:row>
      <xdr:rowOff>96251</xdr:rowOff>
    </xdr:to>
    <xdr:sp macro="" textlink="">
      <xdr:nvSpPr>
        <xdr:cNvPr id="18" name="Rectangle: Rounded Corners 17">
          <a:extLst>
            <a:ext uri="{FF2B5EF4-FFF2-40B4-BE49-F238E27FC236}">
              <a16:creationId xmlns:a16="http://schemas.microsoft.com/office/drawing/2014/main" id="{9CD0B370-F411-437F-BFF5-7BD8AE4C5EDD}"/>
            </a:ext>
          </a:extLst>
        </xdr:cNvPr>
        <xdr:cNvSpPr/>
      </xdr:nvSpPr>
      <xdr:spPr>
        <a:xfrm>
          <a:off x="28452672" y="3530599"/>
          <a:ext cx="643263" cy="656389"/>
        </a:xfrm>
        <a:prstGeom prst="roundRect">
          <a:avLst/>
        </a:prstGeom>
        <a:solidFill>
          <a:srgbClr val="92D050"/>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12</xdr:col>
      <xdr:colOff>169334</xdr:colOff>
      <xdr:row>13</xdr:row>
      <xdr:rowOff>158640</xdr:rowOff>
    </xdr:from>
    <xdr:to>
      <xdr:col>15</xdr:col>
      <xdr:colOff>340895</xdr:colOff>
      <xdr:row>26</xdr:row>
      <xdr:rowOff>130342</xdr:rowOff>
    </xdr:to>
    <mc:AlternateContent xmlns:mc="http://schemas.openxmlformats.org/markup-compatibility/2006" xmlns:a14="http://schemas.microsoft.com/office/drawing/2010/main">
      <mc:Choice Requires="a14">
        <xdr:graphicFrame macro="">
          <xdr:nvGraphicFramePr>
            <xdr:cNvPr id="21" name="Product">
              <a:extLst>
                <a:ext uri="{FF2B5EF4-FFF2-40B4-BE49-F238E27FC236}">
                  <a16:creationId xmlns:a16="http://schemas.microsoft.com/office/drawing/2014/main" id="{5818C7E4-C32E-469A-BBF4-8D708AA98CE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027834" y="2374456"/>
              <a:ext cx="2186850" cy="21875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177798</xdr:colOff>
      <xdr:row>32</xdr:row>
      <xdr:rowOff>78431</xdr:rowOff>
    </xdr:from>
    <xdr:to>
      <xdr:col>15</xdr:col>
      <xdr:colOff>391027</xdr:colOff>
      <xdr:row>36</xdr:row>
      <xdr:rowOff>120316</xdr:rowOff>
    </xdr:to>
    <mc:AlternateContent xmlns:mc="http://schemas.openxmlformats.org/markup-compatibility/2006" xmlns:a14="http://schemas.microsoft.com/office/drawing/2010/main">
      <mc:Choice Requires="a14">
        <xdr:graphicFrame macro="">
          <xdr:nvGraphicFramePr>
            <xdr:cNvPr id="22" name="Month 1">
              <a:extLst>
                <a:ext uri="{FF2B5EF4-FFF2-40B4-BE49-F238E27FC236}">
                  <a16:creationId xmlns:a16="http://schemas.microsoft.com/office/drawing/2014/main" id="{18E5F1E0-CAFA-4048-9B65-AAEC2FE64C3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1036298" y="5532747"/>
              <a:ext cx="2228518" cy="7236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150620</xdr:colOff>
      <xdr:row>6</xdr:row>
      <xdr:rowOff>7574</xdr:rowOff>
    </xdr:from>
    <xdr:to>
      <xdr:col>3</xdr:col>
      <xdr:colOff>1245494</xdr:colOff>
      <xdr:row>7</xdr:row>
      <xdr:rowOff>60156</xdr:rowOff>
    </xdr:to>
    <xdr:sp macro="" textlink="">
      <xdr:nvSpPr>
        <xdr:cNvPr id="7" name="TextBox 6">
          <a:extLst>
            <a:ext uri="{FF2B5EF4-FFF2-40B4-BE49-F238E27FC236}">
              <a16:creationId xmlns:a16="http://schemas.microsoft.com/office/drawing/2014/main" id="{EA867E30-350B-4A86-9F09-464331E4AF3D}"/>
            </a:ext>
          </a:extLst>
        </xdr:cNvPr>
        <xdr:cNvSpPr txBox="1"/>
      </xdr:nvSpPr>
      <xdr:spPr>
        <a:xfrm>
          <a:off x="2937936" y="1030258"/>
          <a:ext cx="1094874" cy="223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PROFIT</a:t>
          </a:r>
        </a:p>
        <a:p>
          <a:endParaRPr lang="en-US" sz="1200" b="1"/>
        </a:p>
        <a:p>
          <a:endParaRPr lang="en-US" sz="1200" b="1"/>
        </a:p>
      </xdr:txBody>
    </xdr:sp>
    <xdr:clientData/>
  </xdr:twoCellAnchor>
  <xdr:twoCellAnchor>
    <xdr:from>
      <xdr:col>34</xdr:col>
      <xdr:colOff>150398</xdr:colOff>
      <xdr:row>8</xdr:row>
      <xdr:rowOff>2</xdr:rowOff>
    </xdr:from>
    <xdr:to>
      <xdr:col>36</xdr:col>
      <xdr:colOff>421105</xdr:colOff>
      <xdr:row>10</xdr:row>
      <xdr:rowOff>100263</xdr:rowOff>
    </xdr:to>
    <xdr:sp macro="" textlink="">
      <xdr:nvSpPr>
        <xdr:cNvPr id="9" name="TextBox 8">
          <a:extLst>
            <a:ext uri="{FF2B5EF4-FFF2-40B4-BE49-F238E27FC236}">
              <a16:creationId xmlns:a16="http://schemas.microsoft.com/office/drawing/2014/main" id="{E4173CC0-6F7B-43E9-A0E0-A5E423722F31}"/>
            </a:ext>
          </a:extLst>
        </xdr:cNvPr>
        <xdr:cNvSpPr txBox="1"/>
      </xdr:nvSpPr>
      <xdr:spPr>
        <a:xfrm>
          <a:off x="25787687" y="1363581"/>
          <a:ext cx="1614234" cy="4411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a:t>
          </a:r>
          <a:r>
            <a:rPr lang="en-US" sz="1200" b="1" baseline="0"/>
            <a:t> </a:t>
          </a:r>
          <a:r>
            <a:rPr lang="en-US" sz="1400" b="1"/>
            <a:t>QUANTITY</a:t>
          </a:r>
          <a:r>
            <a:rPr lang="en-US" sz="1200" b="1"/>
            <a:t> </a:t>
          </a:r>
        </a:p>
      </xdr:txBody>
    </xdr:sp>
    <xdr:clientData/>
  </xdr:twoCellAnchor>
  <xdr:twoCellAnchor>
    <xdr:from>
      <xdr:col>41</xdr:col>
      <xdr:colOff>401052</xdr:colOff>
      <xdr:row>20</xdr:row>
      <xdr:rowOff>49129</xdr:rowOff>
    </xdr:from>
    <xdr:to>
      <xdr:col>43</xdr:col>
      <xdr:colOff>220580</xdr:colOff>
      <xdr:row>24</xdr:row>
      <xdr:rowOff>40105</xdr:rowOff>
    </xdr:to>
    <xdr:sp macro="" textlink="">
      <xdr:nvSpPr>
        <xdr:cNvPr id="10" name="TextBox 9">
          <a:extLst>
            <a:ext uri="{FF2B5EF4-FFF2-40B4-BE49-F238E27FC236}">
              <a16:creationId xmlns:a16="http://schemas.microsoft.com/office/drawing/2014/main" id="{C34A3282-BC66-423C-B6E0-C7DF38EA7225}"/>
            </a:ext>
          </a:extLst>
        </xdr:cNvPr>
        <xdr:cNvSpPr txBox="1"/>
      </xdr:nvSpPr>
      <xdr:spPr>
        <a:xfrm flipH="1">
          <a:off x="30740684" y="3458076"/>
          <a:ext cx="1163054" cy="6727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31</xdr:col>
      <xdr:colOff>170449</xdr:colOff>
      <xdr:row>11</xdr:row>
      <xdr:rowOff>40105</xdr:rowOff>
    </xdr:from>
    <xdr:to>
      <xdr:col>33</xdr:col>
      <xdr:colOff>581528</xdr:colOff>
      <xdr:row>12</xdr:row>
      <xdr:rowOff>140369</xdr:rowOff>
    </xdr:to>
    <xdr:sp macro="" textlink="">
      <xdr:nvSpPr>
        <xdr:cNvPr id="23" name="TextBox 22">
          <a:extLst>
            <a:ext uri="{FF2B5EF4-FFF2-40B4-BE49-F238E27FC236}">
              <a16:creationId xmlns:a16="http://schemas.microsoft.com/office/drawing/2014/main" id="{CBCFB04D-B09C-4B23-ABE9-DECD3C7A13E3}"/>
            </a:ext>
          </a:extLst>
        </xdr:cNvPr>
        <xdr:cNvSpPr txBox="1"/>
      </xdr:nvSpPr>
      <xdr:spPr>
        <a:xfrm>
          <a:off x="23792449" y="1915026"/>
          <a:ext cx="1754605" cy="2707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PROFIT</a:t>
          </a:r>
          <a:r>
            <a:rPr lang="en-US" sz="1400" b="1" baseline="0"/>
            <a:t> MARGIN</a:t>
          </a:r>
          <a:endParaRPr lang="en-US" sz="1400" b="1"/>
        </a:p>
      </xdr:txBody>
    </xdr:sp>
    <xdr:clientData/>
  </xdr:twoCellAnchor>
  <xdr:twoCellAnchor>
    <xdr:from>
      <xdr:col>0</xdr:col>
      <xdr:colOff>25400</xdr:colOff>
      <xdr:row>5</xdr:row>
      <xdr:rowOff>118533</xdr:rowOff>
    </xdr:from>
    <xdr:to>
      <xdr:col>2</xdr:col>
      <xdr:colOff>8467</xdr:colOff>
      <xdr:row>9</xdr:row>
      <xdr:rowOff>93133</xdr:rowOff>
    </xdr:to>
    <xdr:grpSp>
      <xdr:nvGrpSpPr>
        <xdr:cNvPr id="26" name="Group 25">
          <a:extLst>
            <a:ext uri="{FF2B5EF4-FFF2-40B4-BE49-F238E27FC236}">
              <a16:creationId xmlns:a16="http://schemas.microsoft.com/office/drawing/2014/main" id="{05D03FB4-58A0-45DE-A8B4-C9B368528B5F}"/>
            </a:ext>
          </a:extLst>
        </xdr:cNvPr>
        <xdr:cNvGrpSpPr/>
      </xdr:nvGrpSpPr>
      <xdr:grpSpPr>
        <a:xfrm>
          <a:off x="25400" y="988207"/>
          <a:ext cx="2095132" cy="670339"/>
          <a:chOff x="25400" y="970770"/>
          <a:chExt cx="2098620" cy="656389"/>
        </a:xfrm>
        <a:effectLst>
          <a:outerShdw blurRad="50800" dist="38100" dir="2700000" algn="tl" rotWithShape="0">
            <a:prstClr val="black">
              <a:alpha val="40000"/>
            </a:prstClr>
          </a:outerShdw>
        </a:effectLst>
      </xdr:grpSpPr>
      <xdr:sp macro="" textlink="">
        <xdr:nvSpPr>
          <xdr:cNvPr id="11" name="Rectangle: Rounded Corners 10">
            <a:extLst>
              <a:ext uri="{FF2B5EF4-FFF2-40B4-BE49-F238E27FC236}">
                <a16:creationId xmlns:a16="http://schemas.microsoft.com/office/drawing/2014/main" id="{E8CFEBAE-849F-4574-B44A-A1EF27256881}"/>
              </a:ext>
            </a:extLst>
          </xdr:cNvPr>
          <xdr:cNvSpPr/>
        </xdr:nvSpPr>
        <xdr:spPr>
          <a:xfrm>
            <a:off x="42333" y="970770"/>
            <a:ext cx="2081687" cy="656389"/>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Rounded Corners 14">
            <a:extLst>
              <a:ext uri="{FF2B5EF4-FFF2-40B4-BE49-F238E27FC236}">
                <a16:creationId xmlns:a16="http://schemas.microsoft.com/office/drawing/2014/main" id="{947F911E-75A3-4381-9111-EF820659B638}"/>
              </a:ext>
            </a:extLst>
          </xdr:cNvPr>
          <xdr:cNvSpPr/>
        </xdr:nvSpPr>
        <xdr:spPr>
          <a:xfrm>
            <a:off x="25400" y="970770"/>
            <a:ext cx="626534" cy="656389"/>
          </a:xfrm>
          <a:prstGeom prst="roundRect">
            <a:avLst>
              <a:gd name="adj" fmla="val 24775"/>
            </a:avLst>
          </a:prstGeom>
          <a:solidFill>
            <a:srgbClr val="92D050"/>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TextBox 19">
            <a:extLst>
              <a:ext uri="{FF2B5EF4-FFF2-40B4-BE49-F238E27FC236}">
                <a16:creationId xmlns:a16="http://schemas.microsoft.com/office/drawing/2014/main" id="{AFE9DD31-1EA3-4A40-A777-4091F0A7BB9C}"/>
              </a:ext>
            </a:extLst>
          </xdr:cNvPr>
          <xdr:cNvSpPr txBox="1"/>
        </xdr:nvSpPr>
        <xdr:spPr>
          <a:xfrm>
            <a:off x="680228" y="1042736"/>
            <a:ext cx="1227666" cy="2406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a:t>
            </a:r>
            <a:r>
              <a:rPr lang="en-US" sz="1200" b="1" baseline="0"/>
              <a:t> </a:t>
            </a:r>
            <a:r>
              <a:rPr lang="en-US" sz="1400" b="1" baseline="0"/>
              <a:t>SALES</a:t>
            </a:r>
            <a:endParaRPr lang="en-US" sz="1200" b="1" baseline="0"/>
          </a:p>
          <a:p>
            <a:endParaRPr lang="en-US" sz="1200" b="1"/>
          </a:p>
          <a:p>
            <a:endParaRPr lang="en-US" sz="1200" b="1"/>
          </a:p>
        </xdr:txBody>
      </xdr:sp>
      <xdr:sp macro="" textlink="Sales_Analysis!O2">
        <xdr:nvSpPr>
          <xdr:cNvPr id="24" name="TextBox 23">
            <a:extLst>
              <a:ext uri="{FF2B5EF4-FFF2-40B4-BE49-F238E27FC236}">
                <a16:creationId xmlns:a16="http://schemas.microsoft.com/office/drawing/2014/main" id="{4AF8CA10-E480-4C90-979B-BD31C054FE8A}"/>
              </a:ext>
            </a:extLst>
          </xdr:cNvPr>
          <xdr:cNvSpPr txBox="1"/>
        </xdr:nvSpPr>
        <xdr:spPr>
          <a:xfrm>
            <a:off x="641683" y="1303421"/>
            <a:ext cx="1153026" cy="20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CC6820F-CFD8-4D45-AED6-5F9EF892252B}" type="TxLink">
              <a:rPr lang="en-US" sz="1400" b="1" i="0" u="none" strike="noStrike">
                <a:solidFill>
                  <a:srgbClr val="000000"/>
                </a:solidFill>
                <a:latin typeface="Tw Cen MT"/>
              </a:rPr>
              <a:pPr algn="l"/>
              <a:t> 196,000 </a:t>
            </a:fld>
            <a:endParaRPr lang="en-US" sz="1400" b="1"/>
          </a:p>
        </xdr:txBody>
      </xdr:sp>
    </xdr:grpSp>
    <xdr:clientData/>
  </xdr:twoCellAnchor>
  <xdr:twoCellAnchor>
    <xdr:from>
      <xdr:col>2</xdr:col>
      <xdr:colOff>135689</xdr:colOff>
      <xdr:row>5</xdr:row>
      <xdr:rowOff>118533</xdr:rowOff>
    </xdr:from>
    <xdr:to>
      <xdr:col>4</xdr:col>
      <xdr:colOff>239073</xdr:colOff>
      <xdr:row>9</xdr:row>
      <xdr:rowOff>93133</xdr:rowOff>
    </xdr:to>
    <xdr:grpSp>
      <xdr:nvGrpSpPr>
        <xdr:cNvPr id="27" name="Group 26">
          <a:extLst>
            <a:ext uri="{FF2B5EF4-FFF2-40B4-BE49-F238E27FC236}">
              <a16:creationId xmlns:a16="http://schemas.microsoft.com/office/drawing/2014/main" id="{C17BD5C6-42F6-4013-8509-189BCEF58241}"/>
            </a:ext>
          </a:extLst>
        </xdr:cNvPr>
        <xdr:cNvGrpSpPr/>
      </xdr:nvGrpSpPr>
      <xdr:grpSpPr>
        <a:xfrm>
          <a:off x="2247754" y="988207"/>
          <a:ext cx="2099493" cy="670339"/>
          <a:chOff x="25400" y="970770"/>
          <a:chExt cx="2098620" cy="656389"/>
        </a:xfrm>
        <a:effectLst>
          <a:outerShdw blurRad="50800" dist="38100" dir="2700000" algn="tl" rotWithShape="0">
            <a:prstClr val="black">
              <a:alpha val="40000"/>
            </a:prstClr>
          </a:outerShdw>
        </a:effectLst>
      </xdr:grpSpPr>
      <xdr:sp macro="" textlink="">
        <xdr:nvSpPr>
          <xdr:cNvPr id="28" name="Rectangle: Rounded Corners 27">
            <a:extLst>
              <a:ext uri="{FF2B5EF4-FFF2-40B4-BE49-F238E27FC236}">
                <a16:creationId xmlns:a16="http://schemas.microsoft.com/office/drawing/2014/main" id="{0B6EA81E-FC0F-487F-AB6F-505D1EDE2BF2}"/>
              </a:ext>
            </a:extLst>
          </xdr:cNvPr>
          <xdr:cNvSpPr/>
        </xdr:nvSpPr>
        <xdr:spPr>
          <a:xfrm>
            <a:off x="42333" y="970770"/>
            <a:ext cx="2081687" cy="656389"/>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Rectangle: Rounded Corners 28">
            <a:extLst>
              <a:ext uri="{FF2B5EF4-FFF2-40B4-BE49-F238E27FC236}">
                <a16:creationId xmlns:a16="http://schemas.microsoft.com/office/drawing/2014/main" id="{2A34CFD7-C1EA-4943-882C-03CC9771D1D5}"/>
              </a:ext>
            </a:extLst>
          </xdr:cNvPr>
          <xdr:cNvSpPr/>
        </xdr:nvSpPr>
        <xdr:spPr>
          <a:xfrm>
            <a:off x="25400" y="970770"/>
            <a:ext cx="626534" cy="656389"/>
          </a:xfrm>
          <a:prstGeom prst="roundRect">
            <a:avLst>
              <a:gd name="adj" fmla="val 24775"/>
            </a:avLst>
          </a:prstGeom>
          <a:solidFill>
            <a:srgbClr val="92D050"/>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TextBox 29">
            <a:extLst>
              <a:ext uri="{FF2B5EF4-FFF2-40B4-BE49-F238E27FC236}">
                <a16:creationId xmlns:a16="http://schemas.microsoft.com/office/drawing/2014/main" id="{32A26D5F-DBAE-48AC-9D16-DF2248960E97}"/>
              </a:ext>
            </a:extLst>
          </xdr:cNvPr>
          <xdr:cNvSpPr txBox="1"/>
        </xdr:nvSpPr>
        <xdr:spPr>
          <a:xfrm>
            <a:off x="680228" y="1042736"/>
            <a:ext cx="1227666" cy="2406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t>PROFIT</a:t>
            </a:r>
          </a:p>
          <a:p>
            <a:endParaRPr lang="en-US" sz="1200" b="1" baseline="0"/>
          </a:p>
          <a:p>
            <a:endParaRPr lang="en-US" sz="1200" b="1"/>
          </a:p>
          <a:p>
            <a:endParaRPr lang="en-US" sz="1200" b="1"/>
          </a:p>
        </xdr:txBody>
      </xdr:sp>
      <xdr:sp macro="" textlink="Sales_Analysis!O4">
        <xdr:nvSpPr>
          <xdr:cNvPr id="31" name="TextBox 30">
            <a:extLst>
              <a:ext uri="{FF2B5EF4-FFF2-40B4-BE49-F238E27FC236}">
                <a16:creationId xmlns:a16="http://schemas.microsoft.com/office/drawing/2014/main" id="{135CDA6C-906B-4823-A70A-9E45C09189B0}"/>
              </a:ext>
            </a:extLst>
          </xdr:cNvPr>
          <xdr:cNvSpPr txBox="1"/>
        </xdr:nvSpPr>
        <xdr:spPr>
          <a:xfrm>
            <a:off x="641683" y="1303421"/>
            <a:ext cx="1153026" cy="20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1CF28D2-A294-4D00-B710-5316B30F0742}" type="TxLink">
              <a:rPr lang="en-US" sz="1400" b="1" i="0" u="none" strike="noStrike">
                <a:solidFill>
                  <a:srgbClr val="000000"/>
                </a:solidFill>
                <a:latin typeface="Tw Cen MT"/>
              </a:rPr>
              <a:pPr algn="l"/>
              <a:t> 26,600 </a:t>
            </a:fld>
            <a:endParaRPr lang="en-US" sz="1400" b="1"/>
          </a:p>
        </xdr:txBody>
      </xdr:sp>
    </xdr:grpSp>
    <xdr:clientData/>
  </xdr:twoCellAnchor>
  <xdr:twoCellAnchor>
    <xdr:from>
      <xdr:col>4</xdr:col>
      <xdr:colOff>386348</xdr:colOff>
      <xdr:row>5</xdr:row>
      <xdr:rowOff>118533</xdr:rowOff>
    </xdr:from>
    <xdr:to>
      <xdr:col>6</xdr:col>
      <xdr:colOff>569941</xdr:colOff>
      <xdr:row>9</xdr:row>
      <xdr:rowOff>93133</xdr:rowOff>
    </xdr:to>
    <xdr:grpSp>
      <xdr:nvGrpSpPr>
        <xdr:cNvPr id="32" name="Group 31">
          <a:extLst>
            <a:ext uri="{FF2B5EF4-FFF2-40B4-BE49-F238E27FC236}">
              <a16:creationId xmlns:a16="http://schemas.microsoft.com/office/drawing/2014/main" id="{694BB979-3453-4BD5-9149-0F3D278A25A8}"/>
            </a:ext>
          </a:extLst>
        </xdr:cNvPr>
        <xdr:cNvGrpSpPr/>
      </xdr:nvGrpSpPr>
      <xdr:grpSpPr>
        <a:xfrm>
          <a:off x="4494522" y="988207"/>
          <a:ext cx="2096876" cy="670339"/>
          <a:chOff x="25400" y="970770"/>
          <a:chExt cx="2098620" cy="656389"/>
        </a:xfrm>
        <a:effectLst>
          <a:outerShdw blurRad="50800" dist="38100" dir="2700000" algn="tl" rotWithShape="0">
            <a:prstClr val="black">
              <a:alpha val="40000"/>
            </a:prstClr>
          </a:outerShdw>
        </a:effectLst>
      </xdr:grpSpPr>
      <xdr:sp macro="" textlink="">
        <xdr:nvSpPr>
          <xdr:cNvPr id="33" name="Rectangle: Rounded Corners 32">
            <a:extLst>
              <a:ext uri="{FF2B5EF4-FFF2-40B4-BE49-F238E27FC236}">
                <a16:creationId xmlns:a16="http://schemas.microsoft.com/office/drawing/2014/main" id="{7815845D-4CD5-46CC-99D1-82DC5FF7136E}"/>
              </a:ext>
            </a:extLst>
          </xdr:cNvPr>
          <xdr:cNvSpPr/>
        </xdr:nvSpPr>
        <xdr:spPr>
          <a:xfrm>
            <a:off x="42333" y="970770"/>
            <a:ext cx="2081687" cy="656389"/>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4" name="Rectangle: Rounded Corners 33">
            <a:extLst>
              <a:ext uri="{FF2B5EF4-FFF2-40B4-BE49-F238E27FC236}">
                <a16:creationId xmlns:a16="http://schemas.microsoft.com/office/drawing/2014/main" id="{9A0368A1-D389-47D0-B6E0-4D9C4DB2AD06}"/>
              </a:ext>
            </a:extLst>
          </xdr:cNvPr>
          <xdr:cNvSpPr/>
        </xdr:nvSpPr>
        <xdr:spPr>
          <a:xfrm>
            <a:off x="25400" y="970770"/>
            <a:ext cx="626534" cy="656389"/>
          </a:xfrm>
          <a:prstGeom prst="roundRect">
            <a:avLst>
              <a:gd name="adj" fmla="val 24775"/>
            </a:avLst>
          </a:prstGeom>
          <a:solidFill>
            <a:srgbClr val="92D050"/>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5" name="TextBox 34">
            <a:extLst>
              <a:ext uri="{FF2B5EF4-FFF2-40B4-BE49-F238E27FC236}">
                <a16:creationId xmlns:a16="http://schemas.microsoft.com/office/drawing/2014/main" id="{49B47D70-8184-4D1B-8F10-AA3BCF17ACCC}"/>
              </a:ext>
            </a:extLst>
          </xdr:cNvPr>
          <xdr:cNvSpPr txBox="1"/>
        </xdr:nvSpPr>
        <xdr:spPr>
          <a:xfrm>
            <a:off x="680228" y="1042736"/>
            <a:ext cx="1227666" cy="2406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t>UNIT SOLD</a:t>
            </a:r>
          </a:p>
          <a:p>
            <a:endParaRPr lang="en-US" sz="1200" b="1" baseline="0"/>
          </a:p>
        </xdr:txBody>
      </xdr:sp>
      <xdr:sp macro="" textlink="Sales_Analysis!O6">
        <xdr:nvSpPr>
          <xdr:cNvPr id="36" name="TextBox 35">
            <a:extLst>
              <a:ext uri="{FF2B5EF4-FFF2-40B4-BE49-F238E27FC236}">
                <a16:creationId xmlns:a16="http://schemas.microsoft.com/office/drawing/2014/main" id="{5315B584-28D0-4A93-B85A-1E02E5F06D94}"/>
              </a:ext>
            </a:extLst>
          </xdr:cNvPr>
          <xdr:cNvSpPr txBox="1"/>
        </xdr:nvSpPr>
        <xdr:spPr>
          <a:xfrm>
            <a:off x="701839" y="1323473"/>
            <a:ext cx="1153026" cy="20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B6CDC7D-F522-4B61-BD00-28F94EBD587E}" type="TxLink">
              <a:rPr lang="en-US" sz="1400" b="1" i="0" u="none" strike="noStrike">
                <a:solidFill>
                  <a:srgbClr val="000000"/>
                </a:solidFill>
                <a:latin typeface="Tw Cen MT"/>
              </a:rPr>
              <a:pPr algn="l"/>
              <a:t>47</a:t>
            </a:fld>
            <a:endParaRPr lang="en-US" sz="1400" b="1"/>
          </a:p>
        </xdr:txBody>
      </xdr:sp>
    </xdr:grpSp>
    <xdr:clientData/>
  </xdr:twoCellAnchor>
  <xdr:twoCellAnchor>
    <xdr:from>
      <xdr:col>44</xdr:col>
      <xdr:colOff>376322</xdr:colOff>
      <xdr:row>31</xdr:row>
      <xdr:rowOff>98481</xdr:rowOff>
    </xdr:from>
    <xdr:to>
      <xdr:col>48</xdr:col>
      <xdr:colOff>370975</xdr:colOff>
      <xdr:row>35</xdr:row>
      <xdr:rowOff>73080</xdr:rowOff>
    </xdr:to>
    <xdr:grpSp>
      <xdr:nvGrpSpPr>
        <xdr:cNvPr id="37" name="Group 36">
          <a:extLst>
            <a:ext uri="{FF2B5EF4-FFF2-40B4-BE49-F238E27FC236}">
              <a16:creationId xmlns:a16="http://schemas.microsoft.com/office/drawing/2014/main" id="{E8250E74-FE04-493C-BA4D-746B38DB373D}"/>
            </a:ext>
          </a:extLst>
        </xdr:cNvPr>
        <xdr:cNvGrpSpPr/>
      </xdr:nvGrpSpPr>
      <xdr:grpSpPr>
        <a:xfrm>
          <a:off x="32695061" y="5490459"/>
          <a:ext cx="2678218" cy="670338"/>
          <a:chOff x="25400" y="970770"/>
          <a:chExt cx="2098620" cy="656389"/>
        </a:xfrm>
      </xdr:grpSpPr>
      <xdr:sp macro="" textlink="">
        <xdr:nvSpPr>
          <xdr:cNvPr id="38" name="Rectangle: Rounded Corners 37">
            <a:extLst>
              <a:ext uri="{FF2B5EF4-FFF2-40B4-BE49-F238E27FC236}">
                <a16:creationId xmlns:a16="http://schemas.microsoft.com/office/drawing/2014/main" id="{5476D2A1-E810-48D2-A22A-79BE2AE087A3}"/>
              </a:ext>
            </a:extLst>
          </xdr:cNvPr>
          <xdr:cNvSpPr/>
        </xdr:nvSpPr>
        <xdr:spPr>
          <a:xfrm>
            <a:off x="42333" y="970770"/>
            <a:ext cx="2081687" cy="656389"/>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9" name="Rectangle: Rounded Corners 38">
            <a:extLst>
              <a:ext uri="{FF2B5EF4-FFF2-40B4-BE49-F238E27FC236}">
                <a16:creationId xmlns:a16="http://schemas.microsoft.com/office/drawing/2014/main" id="{1FC6B524-72F1-4982-B659-DA89C15379DA}"/>
              </a:ext>
            </a:extLst>
          </xdr:cNvPr>
          <xdr:cNvSpPr/>
        </xdr:nvSpPr>
        <xdr:spPr>
          <a:xfrm>
            <a:off x="25400" y="970770"/>
            <a:ext cx="626534" cy="656389"/>
          </a:xfrm>
          <a:prstGeom prst="roundRect">
            <a:avLst>
              <a:gd name="adj" fmla="val 24775"/>
            </a:avLst>
          </a:prstGeom>
          <a:solidFill>
            <a:srgbClr val="92D050"/>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0" name="TextBox 39">
            <a:extLst>
              <a:ext uri="{FF2B5EF4-FFF2-40B4-BE49-F238E27FC236}">
                <a16:creationId xmlns:a16="http://schemas.microsoft.com/office/drawing/2014/main" id="{313A5D9A-5B81-4193-A872-E32FF59C619D}"/>
              </a:ext>
            </a:extLst>
          </xdr:cNvPr>
          <xdr:cNvSpPr txBox="1"/>
        </xdr:nvSpPr>
        <xdr:spPr>
          <a:xfrm>
            <a:off x="680228" y="1042736"/>
            <a:ext cx="1227666" cy="2406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t>PROFIT MARHIN</a:t>
            </a:r>
          </a:p>
          <a:p>
            <a:endParaRPr lang="en-US" sz="1200" b="1" baseline="0"/>
          </a:p>
        </xdr:txBody>
      </xdr:sp>
      <xdr:sp macro="" textlink="Sales_Analysis!O2">
        <xdr:nvSpPr>
          <xdr:cNvPr id="41" name="TextBox 40">
            <a:extLst>
              <a:ext uri="{FF2B5EF4-FFF2-40B4-BE49-F238E27FC236}">
                <a16:creationId xmlns:a16="http://schemas.microsoft.com/office/drawing/2014/main" id="{CF9534B9-CAE7-4640-B0BF-820623B2C1D2}"/>
              </a:ext>
            </a:extLst>
          </xdr:cNvPr>
          <xdr:cNvSpPr txBox="1"/>
        </xdr:nvSpPr>
        <xdr:spPr>
          <a:xfrm>
            <a:off x="641683" y="1303421"/>
            <a:ext cx="1153026" cy="20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CC6820F-CFD8-4D45-AED6-5F9EF892252B}" type="TxLink">
              <a:rPr lang="en-US" sz="1400" b="1" i="0" u="none" strike="noStrike">
                <a:solidFill>
                  <a:srgbClr val="000000"/>
                </a:solidFill>
                <a:latin typeface="Tw Cen MT"/>
              </a:rPr>
              <a:pPr algn="l"/>
              <a:t> 196,000 </a:t>
            </a:fld>
            <a:endParaRPr lang="en-US" sz="1400" b="1"/>
          </a:p>
        </xdr:txBody>
      </xdr:sp>
    </xdr:grpSp>
    <xdr:clientData/>
  </xdr:twoCellAnchor>
  <xdr:twoCellAnchor>
    <xdr:from>
      <xdr:col>36</xdr:col>
      <xdr:colOff>60146</xdr:colOff>
      <xdr:row>15</xdr:row>
      <xdr:rowOff>150395</xdr:rowOff>
    </xdr:from>
    <xdr:to>
      <xdr:col>37</xdr:col>
      <xdr:colOff>581515</xdr:colOff>
      <xdr:row>17</xdr:row>
      <xdr:rowOff>70186</xdr:rowOff>
    </xdr:to>
    <xdr:sp macro="" textlink="Sales_Analysis!O8">
      <xdr:nvSpPr>
        <xdr:cNvPr id="42" name="TextBox 41">
          <a:extLst>
            <a:ext uri="{FF2B5EF4-FFF2-40B4-BE49-F238E27FC236}">
              <a16:creationId xmlns:a16="http://schemas.microsoft.com/office/drawing/2014/main" id="{5590023F-9826-4ECD-9DCD-52A4162E7198}"/>
            </a:ext>
          </a:extLst>
        </xdr:cNvPr>
        <xdr:cNvSpPr txBox="1"/>
      </xdr:nvSpPr>
      <xdr:spPr>
        <a:xfrm>
          <a:off x="27040962" y="2707106"/>
          <a:ext cx="1193132" cy="2606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1E2CAC-F276-4EE0-B620-4887685C607D}" type="TxLink">
            <a:rPr lang="en-US" sz="1400" b="1" i="0" u="none" strike="noStrike">
              <a:solidFill>
                <a:srgbClr val="000000"/>
              </a:solidFill>
              <a:latin typeface="Tw Cen MT"/>
            </a:rPr>
            <a:pPr/>
            <a:t>14%</a:t>
          </a:fld>
          <a:endParaRPr lang="en-US" sz="1400" b="1"/>
        </a:p>
      </xdr:txBody>
    </xdr:sp>
    <xdr:clientData/>
  </xdr:twoCellAnchor>
  <xdr:twoCellAnchor editAs="oneCell">
    <xdr:from>
      <xdr:col>2</xdr:col>
      <xdr:colOff>190499</xdr:colOff>
      <xdr:row>6</xdr:row>
      <xdr:rowOff>30080</xdr:rowOff>
    </xdr:from>
    <xdr:to>
      <xdr:col>3</xdr:col>
      <xdr:colOff>30077</xdr:colOff>
      <xdr:row>9</xdr:row>
      <xdr:rowOff>30079</xdr:rowOff>
    </xdr:to>
    <xdr:pic>
      <xdr:nvPicPr>
        <xdr:cNvPr id="43" name="Graphic 42" descr="Bar graph with upward trend with solid fill">
          <a:extLst>
            <a:ext uri="{FF2B5EF4-FFF2-40B4-BE49-F238E27FC236}">
              <a16:creationId xmlns:a16="http://schemas.microsoft.com/office/drawing/2014/main" id="{B158075F-FA7D-4538-921B-979EF481DBF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306052" y="1052764"/>
          <a:ext cx="511341" cy="511341"/>
        </a:xfrm>
        <a:prstGeom prst="rect">
          <a:avLst/>
        </a:prstGeom>
      </xdr:spPr>
    </xdr:pic>
    <xdr:clientData/>
  </xdr:twoCellAnchor>
  <xdr:twoCellAnchor editAs="oneCell">
    <xdr:from>
      <xdr:col>0</xdr:col>
      <xdr:colOff>70185</xdr:colOff>
      <xdr:row>6</xdr:row>
      <xdr:rowOff>10027</xdr:rowOff>
    </xdr:from>
    <xdr:to>
      <xdr:col>0</xdr:col>
      <xdr:colOff>582249</xdr:colOff>
      <xdr:row>9</xdr:row>
      <xdr:rowOff>10749</xdr:rowOff>
    </xdr:to>
    <xdr:pic>
      <xdr:nvPicPr>
        <xdr:cNvPr id="45" name="Graphic 44" descr="Money with solid fill">
          <a:extLst>
            <a:ext uri="{FF2B5EF4-FFF2-40B4-BE49-F238E27FC236}">
              <a16:creationId xmlns:a16="http://schemas.microsoft.com/office/drawing/2014/main" id="{8AB6399F-E5A5-4E7E-8F36-413A47A579E5}"/>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70185" y="1032711"/>
          <a:ext cx="512064" cy="512064"/>
        </a:xfrm>
        <a:prstGeom prst="rect">
          <a:avLst/>
        </a:prstGeom>
      </xdr:spPr>
    </xdr:pic>
    <xdr:clientData/>
  </xdr:twoCellAnchor>
  <xdr:twoCellAnchor editAs="oneCell">
    <xdr:from>
      <xdr:col>42</xdr:col>
      <xdr:colOff>570711</xdr:colOff>
      <xdr:row>12</xdr:row>
      <xdr:rowOff>99475</xdr:rowOff>
    </xdr:from>
    <xdr:to>
      <xdr:col>44</xdr:col>
      <xdr:colOff>141585</xdr:colOff>
      <xdr:row>17</xdr:row>
      <xdr:rowOff>161638</xdr:rowOff>
    </xdr:to>
    <xdr:pic>
      <xdr:nvPicPr>
        <xdr:cNvPr id="47" name="Graphic 46" descr="Dollar with solid fill">
          <a:extLst>
            <a:ext uri="{FF2B5EF4-FFF2-40B4-BE49-F238E27FC236}">
              <a16:creationId xmlns:a16="http://schemas.microsoft.com/office/drawing/2014/main" id="{160D5D97-4441-41DC-A3B9-EB32CDAFDAEA}"/>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31582106" y="2144843"/>
          <a:ext cx="914400" cy="914400"/>
        </a:xfrm>
        <a:prstGeom prst="rect">
          <a:avLst/>
        </a:prstGeom>
      </xdr:spPr>
    </xdr:pic>
    <xdr:clientData/>
  </xdr:twoCellAnchor>
  <xdr:twoCellAnchor editAs="oneCell">
    <xdr:from>
      <xdr:col>37</xdr:col>
      <xdr:colOff>60145</xdr:colOff>
      <xdr:row>25</xdr:row>
      <xdr:rowOff>120316</xdr:rowOff>
    </xdr:from>
    <xdr:to>
      <xdr:col>37</xdr:col>
      <xdr:colOff>572209</xdr:colOff>
      <xdr:row>28</xdr:row>
      <xdr:rowOff>121038</xdr:rowOff>
    </xdr:to>
    <xdr:pic>
      <xdr:nvPicPr>
        <xdr:cNvPr id="49" name="Graphic 48" descr="Upward trend with solid fill">
          <a:extLst>
            <a:ext uri="{FF2B5EF4-FFF2-40B4-BE49-F238E27FC236}">
              <a16:creationId xmlns:a16="http://schemas.microsoft.com/office/drawing/2014/main" id="{3A190CB6-42C4-47ED-9A30-1F7A8E645FF3}"/>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27712724" y="4381500"/>
          <a:ext cx="512064" cy="512064"/>
        </a:xfrm>
        <a:prstGeom prst="rect">
          <a:avLst/>
        </a:prstGeom>
      </xdr:spPr>
    </xdr:pic>
    <xdr:clientData/>
  </xdr:twoCellAnchor>
  <xdr:twoCellAnchor editAs="oneCell">
    <xdr:from>
      <xdr:col>4</xdr:col>
      <xdr:colOff>451184</xdr:colOff>
      <xdr:row>6</xdr:row>
      <xdr:rowOff>30081</xdr:rowOff>
    </xdr:from>
    <xdr:to>
      <xdr:col>5</xdr:col>
      <xdr:colOff>291484</xdr:colOff>
      <xdr:row>9</xdr:row>
      <xdr:rowOff>30803</xdr:rowOff>
    </xdr:to>
    <xdr:pic>
      <xdr:nvPicPr>
        <xdr:cNvPr id="51" name="Graphic 50" descr="Shopping cart with solid fill">
          <a:extLst>
            <a:ext uri="{FF2B5EF4-FFF2-40B4-BE49-F238E27FC236}">
              <a16:creationId xmlns:a16="http://schemas.microsoft.com/office/drawing/2014/main" id="{79A8F4C2-E789-4EFA-A306-BB061B382D53}"/>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4561973" y="1052765"/>
          <a:ext cx="512064" cy="512064"/>
        </a:xfrm>
        <a:prstGeom prst="rect">
          <a:avLst/>
        </a:prstGeom>
      </xdr:spPr>
    </xdr:pic>
    <xdr:clientData/>
  </xdr:twoCellAnchor>
  <xdr:twoCellAnchor>
    <xdr:from>
      <xdr:col>7</xdr:col>
      <xdr:colOff>65505</xdr:colOff>
      <xdr:row>5</xdr:row>
      <xdr:rowOff>118533</xdr:rowOff>
    </xdr:from>
    <xdr:to>
      <xdr:col>9</xdr:col>
      <xdr:colOff>604631</xdr:colOff>
      <xdr:row>9</xdr:row>
      <xdr:rowOff>93133</xdr:rowOff>
    </xdr:to>
    <xdr:grpSp>
      <xdr:nvGrpSpPr>
        <xdr:cNvPr id="48" name="Group 47">
          <a:extLst>
            <a:ext uri="{FF2B5EF4-FFF2-40B4-BE49-F238E27FC236}">
              <a16:creationId xmlns:a16="http://schemas.microsoft.com/office/drawing/2014/main" id="{9120E974-D9E5-43B6-AB76-87422EAE3FA3}"/>
            </a:ext>
          </a:extLst>
        </xdr:cNvPr>
        <xdr:cNvGrpSpPr/>
      </xdr:nvGrpSpPr>
      <xdr:grpSpPr>
        <a:xfrm>
          <a:off x="6757853" y="988207"/>
          <a:ext cx="2684321" cy="670339"/>
          <a:chOff x="25400" y="970770"/>
          <a:chExt cx="2098620" cy="656389"/>
        </a:xfrm>
        <a:effectLst>
          <a:outerShdw blurRad="50800" dist="38100" dir="2700000" algn="tl" rotWithShape="0">
            <a:prstClr val="black">
              <a:alpha val="40000"/>
            </a:prstClr>
          </a:outerShdw>
        </a:effectLst>
      </xdr:grpSpPr>
      <xdr:sp macro="" textlink="">
        <xdr:nvSpPr>
          <xdr:cNvPr id="50" name="Rectangle: Rounded Corners 49">
            <a:extLst>
              <a:ext uri="{FF2B5EF4-FFF2-40B4-BE49-F238E27FC236}">
                <a16:creationId xmlns:a16="http://schemas.microsoft.com/office/drawing/2014/main" id="{CD87C74C-B00E-4F7E-8D65-616A01B37B91}"/>
              </a:ext>
            </a:extLst>
          </xdr:cNvPr>
          <xdr:cNvSpPr/>
        </xdr:nvSpPr>
        <xdr:spPr>
          <a:xfrm>
            <a:off x="42333" y="970770"/>
            <a:ext cx="2081687" cy="656389"/>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2" name="Rectangle: Rounded Corners 51">
            <a:extLst>
              <a:ext uri="{FF2B5EF4-FFF2-40B4-BE49-F238E27FC236}">
                <a16:creationId xmlns:a16="http://schemas.microsoft.com/office/drawing/2014/main" id="{0785997E-5DDC-4245-8E63-4A61F666C532}"/>
              </a:ext>
            </a:extLst>
          </xdr:cNvPr>
          <xdr:cNvSpPr/>
        </xdr:nvSpPr>
        <xdr:spPr>
          <a:xfrm>
            <a:off x="25400" y="970770"/>
            <a:ext cx="478705" cy="656389"/>
          </a:xfrm>
          <a:prstGeom prst="roundRect">
            <a:avLst>
              <a:gd name="adj" fmla="val 24775"/>
            </a:avLst>
          </a:prstGeom>
          <a:solidFill>
            <a:srgbClr val="92D050"/>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3" name="TextBox 52">
            <a:extLst>
              <a:ext uri="{FF2B5EF4-FFF2-40B4-BE49-F238E27FC236}">
                <a16:creationId xmlns:a16="http://schemas.microsoft.com/office/drawing/2014/main" id="{EDA6CBB4-3AE9-4F64-955B-4FC8A469540F}"/>
              </a:ext>
            </a:extLst>
          </xdr:cNvPr>
          <xdr:cNvSpPr txBox="1"/>
        </xdr:nvSpPr>
        <xdr:spPr>
          <a:xfrm>
            <a:off x="540044" y="1042736"/>
            <a:ext cx="1227666" cy="2406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t>PROFIT MARGIN</a:t>
            </a:r>
          </a:p>
        </xdr:txBody>
      </xdr:sp>
      <xdr:sp macro="" textlink="Sales_Analysis!O8">
        <xdr:nvSpPr>
          <xdr:cNvPr id="54" name="TextBox 53">
            <a:extLst>
              <a:ext uri="{FF2B5EF4-FFF2-40B4-BE49-F238E27FC236}">
                <a16:creationId xmlns:a16="http://schemas.microsoft.com/office/drawing/2014/main" id="{4C944A78-6884-424D-8715-65E01FDDB697}"/>
              </a:ext>
            </a:extLst>
          </xdr:cNvPr>
          <xdr:cNvSpPr txBox="1"/>
        </xdr:nvSpPr>
        <xdr:spPr>
          <a:xfrm>
            <a:off x="561658" y="1323473"/>
            <a:ext cx="1153026" cy="20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336B126-BCD1-47A6-8903-A6D36ABAFBC8}" type="TxLink">
              <a:rPr lang="en-US" sz="1400" b="1" i="0" u="none" strike="noStrike">
                <a:solidFill>
                  <a:srgbClr val="000000"/>
                </a:solidFill>
                <a:latin typeface="Tw Cen MT"/>
              </a:rPr>
              <a:pPr algn="l"/>
              <a:t>14%</a:t>
            </a:fld>
            <a:endParaRPr lang="en-US" sz="1400" b="1"/>
          </a:p>
        </xdr:txBody>
      </xdr:sp>
    </xdr:grpSp>
    <xdr:clientData/>
  </xdr:twoCellAnchor>
  <xdr:twoCellAnchor editAs="oneCell">
    <xdr:from>
      <xdr:col>7</xdr:col>
      <xdr:colOff>120316</xdr:colOff>
      <xdr:row>6</xdr:row>
      <xdr:rowOff>20052</xdr:rowOff>
    </xdr:from>
    <xdr:to>
      <xdr:col>7</xdr:col>
      <xdr:colOff>632380</xdr:colOff>
      <xdr:row>9</xdr:row>
      <xdr:rowOff>20774</xdr:rowOff>
    </xdr:to>
    <xdr:pic>
      <xdr:nvPicPr>
        <xdr:cNvPr id="44" name="Graphic 43" descr="Upward trend with solid fill">
          <a:extLst>
            <a:ext uri="{FF2B5EF4-FFF2-40B4-BE49-F238E27FC236}">
              <a16:creationId xmlns:a16="http://schemas.microsoft.com/office/drawing/2014/main" id="{02DD9897-4154-4502-AE5F-92117D0004FC}"/>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6817895" y="1042736"/>
          <a:ext cx="512064" cy="512064"/>
        </a:xfrm>
        <a:prstGeom prst="rect">
          <a:avLst/>
        </a:prstGeom>
      </xdr:spPr>
    </xdr:pic>
    <xdr:clientData/>
  </xdr:twoCellAnchor>
  <xdr:twoCellAnchor>
    <xdr:from>
      <xdr:col>5</xdr:col>
      <xdr:colOff>822157</xdr:colOff>
      <xdr:row>24</xdr:row>
      <xdr:rowOff>150399</xdr:rowOff>
    </xdr:from>
    <xdr:to>
      <xdr:col>11</xdr:col>
      <xdr:colOff>601578</xdr:colOff>
      <xdr:row>36</xdr:row>
      <xdr:rowOff>116711</xdr:rowOff>
    </xdr:to>
    <xdr:graphicFrame macro="">
      <xdr:nvGraphicFramePr>
        <xdr:cNvPr id="60" name="Chart 59">
          <a:extLst>
            <a:ext uri="{FF2B5EF4-FFF2-40B4-BE49-F238E27FC236}">
              <a16:creationId xmlns:a16="http://schemas.microsoft.com/office/drawing/2014/main" id="{AD3F5796-B86E-40B5-A90A-C5B4EF93D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140805</xdr:colOff>
      <xdr:row>11</xdr:row>
      <xdr:rowOff>16563</xdr:rowOff>
    </xdr:from>
    <xdr:to>
      <xdr:col>1</xdr:col>
      <xdr:colOff>1234110</xdr:colOff>
      <xdr:row>12</xdr:row>
      <xdr:rowOff>66261</xdr:rowOff>
    </xdr:to>
    <xdr:sp macro="" textlink="">
      <xdr:nvSpPr>
        <xdr:cNvPr id="46" name="TextBox 45">
          <a:extLst>
            <a:ext uri="{FF2B5EF4-FFF2-40B4-BE49-F238E27FC236}">
              <a16:creationId xmlns:a16="http://schemas.microsoft.com/office/drawing/2014/main" id="{57B6F8C9-7B20-4B99-9E18-E77337523AF0}"/>
            </a:ext>
          </a:extLst>
        </xdr:cNvPr>
        <xdr:cNvSpPr txBox="1"/>
      </xdr:nvSpPr>
      <xdr:spPr>
        <a:xfrm>
          <a:off x="140805" y="1929846"/>
          <a:ext cx="1764196" cy="223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SALES</a:t>
          </a:r>
          <a:r>
            <a:rPr lang="en-US" sz="1100" b="1" baseline="0"/>
            <a:t> BY PRODUCT</a:t>
          </a:r>
          <a:endParaRPr lang="en-US" sz="1100" b="1"/>
        </a:p>
      </xdr:txBody>
    </xdr:sp>
    <xdr:clientData/>
  </xdr:twoCellAnchor>
  <xdr:twoCellAnchor>
    <xdr:from>
      <xdr:col>5</xdr:col>
      <xdr:colOff>869675</xdr:colOff>
      <xdr:row>11</xdr:row>
      <xdr:rowOff>16563</xdr:rowOff>
    </xdr:from>
    <xdr:to>
      <xdr:col>7</xdr:col>
      <xdr:colOff>720588</xdr:colOff>
      <xdr:row>12</xdr:row>
      <xdr:rowOff>66261</xdr:rowOff>
    </xdr:to>
    <xdr:sp macro="" textlink="">
      <xdr:nvSpPr>
        <xdr:cNvPr id="61" name="TextBox 60">
          <a:extLst>
            <a:ext uri="{FF2B5EF4-FFF2-40B4-BE49-F238E27FC236}">
              <a16:creationId xmlns:a16="http://schemas.microsoft.com/office/drawing/2014/main" id="{B3B97F4E-726A-4B22-846B-D42205AD1CD6}"/>
            </a:ext>
          </a:extLst>
        </xdr:cNvPr>
        <xdr:cNvSpPr txBox="1"/>
      </xdr:nvSpPr>
      <xdr:spPr>
        <a:xfrm>
          <a:off x="5648740" y="1929846"/>
          <a:ext cx="1764196" cy="223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SALES</a:t>
          </a:r>
          <a:r>
            <a:rPr lang="en-US" sz="1100" b="1" baseline="0"/>
            <a:t> BY REGION</a:t>
          </a:r>
          <a:endParaRPr lang="en-US" sz="1100" b="1"/>
        </a:p>
      </xdr:txBody>
    </xdr:sp>
    <xdr:clientData/>
  </xdr:twoCellAnchor>
  <xdr:twoCellAnchor>
    <xdr:from>
      <xdr:col>5</xdr:col>
      <xdr:colOff>869675</xdr:colOff>
      <xdr:row>25</xdr:row>
      <xdr:rowOff>66259</xdr:rowOff>
    </xdr:from>
    <xdr:to>
      <xdr:col>7</xdr:col>
      <xdr:colOff>720588</xdr:colOff>
      <xdr:row>26</xdr:row>
      <xdr:rowOff>115957</xdr:rowOff>
    </xdr:to>
    <xdr:sp macro="" textlink="">
      <xdr:nvSpPr>
        <xdr:cNvPr id="62" name="TextBox 61">
          <a:extLst>
            <a:ext uri="{FF2B5EF4-FFF2-40B4-BE49-F238E27FC236}">
              <a16:creationId xmlns:a16="http://schemas.microsoft.com/office/drawing/2014/main" id="{3AAFD2CB-9F03-4358-BE39-6BDA878E2CAC}"/>
            </a:ext>
          </a:extLst>
        </xdr:cNvPr>
        <xdr:cNvSpPr txBox="1"/>
      </xdr:nvSpPr>
      <xdr:spPr>
        <a:xfrm>
          <a:off x="5648740" y="4414629"/>
          <a:ext cx="1764196" cy="223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SALES</a:t>
          </a:r>
          <a:r>
            <a:rPr lang="en-US" sz="1100" b="1" baseline="0"/>
            <a:t> BY CATEGORY</a:t>
          </a:r>
          <a:endParaRPr lang="en-US" sz="1100" b="1"/>
        </a:p>
      </xdr:txBody>
    </xdr:sp>
    <xdr:clientData/>
  </xdr:twoCellAnchor>
  <xdr:twoCellAnchor>
    <xdr:from>
      <xdr:col>0</xdr:col>
      <xdr:colOff>190501</xdr:colOff>
      <xdr:row>25</xdr:row>
      <xdr:rowOff>66259</xdr:rowOff>
    </xdr:from>
    <xdr:to>
      <xdr:col>1</xdr:col>
      <xdr:colOff>1283806</xdr:colOff>
      <xdr:row>26</xdr:row>
      <xdr:rowOff>115957</xdr:rowOff>
    </xdr:to>
    <xdr:sp macro="" textlink="">
      <xdr:nvSpPr>
        <xdr:cNvPr id="63" name="TextBox 62">
          <a:extLst>
            <a:ext uri="{FF2B5EF4-FFF2-40B4-BE49-F238E27FC236}">
              <a16:creationId xmlns:a16="http://schemas.microsoft.com/office/drawing/2014/main" id="{2E8463EF-FC56-423F-BD2A-623170EE846F}"/>
            </a:ext>
          </a:extLst>
        </xdr:cNvPr>
        <xdr:cNvSpPr txBox="1"/>
      </xdr:nvSpPr>
      <xdr:spPr>
        <a:xfrm>
          <a:off x="190501" y="4414629"/>
          <a:ext cx="1764196" cy="223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SALES</a:t>
          </a:r>
          <a:r>
            <a:rPr lang="en-US" sz="1100" b="1" baseline="0"/>
            <a:t> BY MONTH</a:t>
          </a:r>
          <a:endParaRPr lang="en-US" sz="1100" b="1"/>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274320</xdr:colOff>
      <xdr:row>41</xdr:row>
      <xdr:rowOff>91441</xdr:rowOff>
    </xdr:from>
    <xdr:to>
      <xdr:col>11</xdr:col>
      <xdr:colOff>60960</xdr:colOff>
      <xdr:row>45</xdr:row>
      <xdr:rowOff>76200</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E833D7B0-1DE2-449A-9016-EFC9CB74340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336280" y="7277101"/>
              <a:ext cx="1828800" cy="685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419100</xdr:colOff>
      <xdr:row>7</xdr:row>
      <xdr:rowOff>137160</xdr:rowOff>
    </xdr:from>
    <xdr:to>
      <xdr:col>18</xdr:col>
      <xdr:colOff>320040</xdr:colOff>
      <xdr:row>21</xdr:row>
      <xdr:rowOff>91440</xdr:rowOff>
    </xdr:to>
    <mc:AlternateContent xmlns:mc="http://schemas.openxmlformats.org/markup-compatibility/2006" xmlns:a14="http://schemas.microsoft.com/office/drawing/2010/main">
      <mc:Choice Requires="a14">
        <xdr:graphicFrame macro="">
          <xdr:nvGraphicFramePr>
            <xdr:cNvPr id="4" name="Product 1">
              <a:extLst>
                <a:ext uri="{FF2B5EF4-FFF2-40B4-BE49-F238E27FC236}">
                  <a16:creationId xmlns:a16="http://schemas.microsoft.com/office/drawing/2014/main" id="{EB6D7141-C083-4DDD-9BFD-574026DE35F2}"/>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2748260" y="1363980"/>
              <a:ext cx="2583180" cy="2407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 Ahad" refreshedDate="46035.93816203704" createdVersion="7" refreshedVersion="7" minRefreshableVersion="3" recordCount="15" xr:uid="{CE9CBDFC-FA0C-4DDB-B3CA-93D72B65B20F}">
  <cacheSource type="worksheet">
    <worksheetSource name="Sales_Data"/>
  </cacheSource>
  <cacheFields count="13">
    <cacheField name="Order ID" numFmtId="0">
      <sharedItems containsSemiMixedTypes="0" containsString="0" containsNumber="1" containsInteger="1" minValue="1001" maxValue="1015"/>
    </cacheField>
    <cacheField name="Order Date" numFmtId="14">
      <sharedItems containsSemiMixedTypes="0" containsNonDate="0" containsDate="1" containsString="0" minDate="2024-01-01T00:00:00" maxDate="2024-04-21T00:00:00"/>
    </cacheField>
    <cacheField name="Region" numFmtId="0">
      <sharedItems count="4">
        <s v="East"/>
        <s v="West"/>
        <s v="South"/>
        <s v="North"/>
      </sharedItems>
    </cacheField>
    <cacheField name="State" numFmtId="0">
      <sharedItems/>
    </cacheField>
    <cacheField name="Category" numFmtId="0">
      <sharedItems count="3">
        <s v="Furniture"/>
        <s v="Technology"/>
        <s v="Office Supplies"/>
      </sharedItems>
    </cacheField>
    <cacheField name="Sub-Category" numFmtId="0">
      <sharedItems/>
    </cacheField>
    <cacheField name="Product" numFmtId="0">
      <sharedItems count="20">
        <s v="Office Chair"/>
        <s v="Samsung Mobile"/>
        <s v="A4 Sheets"/>
        <s v="Wooden Table"/>
        <s v="Asus Laptop "/>
        <s v="Binder Set"/>
        <s v="Book Shelf"/>
        <s v="Mouse"/>
        <s v="Storage Box"/>
        <s v="Redmi Mobile"/>
        <s v="Visitor Chair"/>
        <s v="Acer Laptop "/>
        <s v="Notebook"/>
        <s v="Study Table"/>
        <s v="Keyboard"/>
        <s v="Smartphone B" u="1"/>
        <s v="Azuz Laptop " u="1"/>
        <s v="Laptop Y" u="1"/>
        <s v="Smartphone A" u="1"/>
        <s v="Laptop X" u="1"/>
      </sharedItems>
    </cacheField>
    <cacheField name="Sales" numFmtId="0">
      <sharedItems containsSemiMixedTypes="0" containsString="0" containsNumber="1" containsInteger="1" minValue="700" maxValue="62000"/>
    </cacheField>
    <cacheField name="Quantity" numFmtId="0">
      <sharedItems containsSemiMixedTypes="0" containsString="0" containsNumber="1" containsInteger="1" minValue="1" maxValue="10"/>
    </cacheField>
    <cacheField name="Profit" numFmtId="0">
      <sharedItems containsSemiMixedTypes="0" containsString="0" containsNumber="1" containsInteger="1" minValue="-500" maxValue="9000"/>
    </cacheField>
    <cacheField name="Month" numFmtId="0">
      <sharedItems count="4">
        <s v="January"/>
        <s v="February"/>
        <s v="March"/>
        <s v="April"/>
      </sharedItems>
    </cacheField>
    <cacheField name="Year" numFmtId="0">
      <sharedItems containsSemiMixedTypes="0" containsString="0" containsNumber="1" containsInteger="1" minValue="2024" maxValue="2024"/>
    </cacheField>
    <cacheField name="Profit Margin" numFmtId="0">
      <sharedItems containsSemiMixedTypes="0" containsString="0" containsNumber="1" minValue="-0.08" maxValue="0.2857142857142857"/>
    </cacheField>
  </cacheFields>
  <extLst>
    <ext xmlns:x14="http://schemas.microsoft.com/office/spreadsheetml/2009/9/main" uri="{725AE2AE-9491-48be-B2B4-4EB974FC3084}">
      <x14:pivotCacheDefinition pivotCacheId="8878537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001"/>
    <d v="2024-01-01T00:00:00"/>
    <x v="0"/>
    <s v="Tamil Nadu"/>
    <x v="0"/>
    <s v="Chairs"/>
    <x v="0"/>
    <n v="4500"/>
    <n v="2"/>
    <n v="800"/>
    <x v="0"/>
    <n v="2024"/>
    <n v="0.17777777777777778"/>
  </r>
  <r>
    <n v="1002"/>
    <d v="2024-01-03T00:00:00"/>
    <x v="1"/>
    <s v="Maharashtra"/>
    <x v="1"/>
    <s v="Phones"/>
    <x v="1"/>
    <n v="15000"/>
    <n v="3"/>
    <n v="2500"/>
    <x v="0"/>
    <n v="2024"/>
    <n v="0.16666666666666666"/>
  </r>
  <r>
    <n v="1003"/>
    <d v="2024-01-05T00:00:00"/>
    <x v="2"/>
    <s v="Kerala"/>
    <x v="2"/>
    <s v="Paper"/>
    <x v="2"/>
    <n v="1200"/>
    <n v="10"/>
    <n v="300"/>
    <x v="0"/>
    <n v="2024"/>
    <n v="0.25"/>
  </r>
  <r>
    <n v="1004"/>
    <d v="2024-01-10T00:00:00"/>
    <x v="3"/>
    <s v="Delhi"/>
    <x v="0"/>
    <s v="Tables"/>
    <x v="3"/>
    <n v="8000"/>
    <n v="1"/>
    <n v="-500"/>
    <x v="0"/>
    <n v="2024"/>
    <n v="-6.25E-2"/>
  </r>
  <r>
    <n v="1005"/>
    <d v="2024-02-15T00:00:00"/>
    <x v="0"/>
    <s v="West Bengal"/>
    <x v="1"/>
    <s v="Laptops"/>
    <x v="4"/>
    <n v="55000"/>
    <n v="2"/>
    <n v="7000"/>
    <x v="1"/>
    <n v="2024"/>
    <n v="0.12727272727272726"/>
  </r>
  <r>
    <n v="1006"/>
    <d v="2024-02-18T00:00:00"/>
    <x v="2"/>
    <s v="Tamil Nadu"/>
    <x v="2"/>
    <s v="Binders"/>
    <x v="5"/>
    <n v="900"/>
    <n v="5"/>
    <n v="150"/>
    <x v="1"/>
    <n v="2024"/>
    <n v="0.16666666666666666"/>
  </r>
  <r>
    <n v="1007"/>
    <d v="2024-02-22T00:00:00"/>
    <x v="1"/>
    <s v="Gujarat"/>
    <x v="0"/>
    <s v="Bookcases"/>
    <x v="6"/>
    <n v="12000"/>
    <n v="1"/>
    <n v="1800"/>
    <x v="1"/>
    <n v="2024"/>
    <n v="0.15"/>
  </r>
  <r>
    <n v="1008"/>
    <d v="2024-03-05T00:00:00"/>
    <x v="3"/>
    <s v="Punjab"/>
    <x v="1"/>
    <s v="Accessories"/>
    <x v="7"/>
    <n v="700"/>
    <n v="4"/>
    <n v="200"/>
    <x v="2"/>
    <n v="2024"/>
    <n v="0.2857142857142857"/>
  </r>
  <r>
    <n v="1009"/>
    <d v="2024-03-10T00:00:00"/>
    <x v="0"/>
    <s v="Odisha"/>
    <x v="2"/>
    <s v="Storage"/>
    <x v="8"/>
    <n v="2500"/>
    <n v="3"/>
    <n v="-200"/>
    <x v="2"/>
    <n v="2024"/>
    <n v="-0.08"/>
  </r>
  <r>
    <n v="1010"/>
    <d v="2024-03-18T00:00:00"/>
    <x v="2"/>
    <s v="Karnataka"/>
    <x v="1"/>
    <s v="Phones"/>
    <x v="9"/>
    <n v="18000"/>
    <n v="2"/>
    <n v="3000"/>
    <x v="2"/>
    <n v="2024"/>
    <n v="0.16666666666666666"/>
  </r>
  <r>
    <n v="1011"/>
    <d v="2024-03-25T00:00:00"/>
    <x v="1"/>
    <s v="Rajasthan"/>
    <x v="0"/>
    <s v="Chairs"/>
    <x v="10"/>
    <n v="3000"/>
    <n v="4"/>
    <n v="600"/>
    <x v="2"/>
    <n v="2024"/>
    <n v="0.2"/>
  </r>
  <r>
    <n v="1012"/>
    <d v="2024-04-01T00:00:00"/>
    <x v="3"/>
    <s v="Haryana"/>
    <x v="1"/>
    <s v="Laptops"/>
    <x v="11"/>
    <n v="62000"/>
    <n v="1"/>
    <n v="9000"/>
    <x v="3"/>
    <n v="2024"/>
    <n v="0.14516129032258066"/>
  </r>
  <r>
    <n v="1013"/>
    <d v="2024-04-08T00:00:00"/>
    <x v="0"/>
    <s v="Bihar"/>
    <x v="2"/>
    <s v="Paper"/>
    <x v="12"/>
    <n v="1500"/>
    <n v="6"/>
    <n v="350"/>
    <x v="3"/>
    <n v="2024"/>
    <n v="0.23333333333333334"/>
  </r>
  <r>
    <n v="1014"/>
    <d v="2024-04-15T00:00:00"/>
    <x v="2"/>
    <s v="Telangana"/>
    <x v="0"/>
    <s v="Tables"/>
    <x v="13"/>
    <n v="9500"/>
    <n v="1"/>
    <n v="1200"/>
    <x v="3"/>
    <n v="2024"/>
    <n v="0.12631578947368421"/>
  </r>
  <r>
    <n v="1015"/>
    <d v="2024-04-20T00:00:00"/>
    <x v="1"/>
    <s v="Madhya Pradesh"/>
    <x v="1"/>
    <s v="Accessories"/>
    <x v="14"/>
    <n v="2200"/>
    <n v="2"/>
    <n v="400"/>
    <x v="3"/>
    <n v="2024"/>
    <n v="0.1818181818181818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4C4DBE-EE85-45ED-A345-8D2E289094B1}" name="PivotTable2" cacheId="0" applyNumberFormats="0" applyBorderFormats="0" applyFontFormats="0" applyPatternFormats="0" applyAlignmentFormats="0" applyWidthHeightFormats="1" dataCaption="Values" updatedVersion="7" minRefreshableVersion="3" showDrill="0" useAutoFormatting="1" itemPrintTitles="1" createdVersion="7" indent="0" outline="1" outlineData="1" multipleFieldFilters="0" chartFormat="7" rowHeaderCaption="Sales By Product" customListSort="0">
  <location ref="J3:K9" firstHeaderRow="1" firstDataRow="1" firstDataCol="1"/>
  <pivotFields count="13">
    <pivotField showAll="0"/>
    <pivotField numFmtId="14" showAll="0"/>
    <pivotField showAll="0">
      <items count="5">
        <item x="0"/>
        <item x="3"/>
        <item x="2"/>
        <item x="1"/>
        <item t="default"/>
      </items>
    </pivotField>
    <pivotField showAll="0"/>
    <pivotField showAll="0"/>
    <pivotField showAll="0"/>
    <pivotField axis="axisRow" showAll="0" measureFilter="1" sortType="ascending">
      <items count="21">
        <item x="2"/>
        <item x="11"/>
        <item x="4"/>
        <item m="1" x="16"/>
        <item x="5"/>
        <item x="6"/>
        <item x="14"/>
        <item m="1" x="19"/>
        <item m="1" x="17"/>
        <item x="7"/>
        <item x="12"/>
        <item x="0"/>
        <item x="9"/>
        <item x="1"/>
        <item m="1" x="18"/>
        <item m="1" x="15"/>
        <item x="8"/>
        <item x="13"/>
        <item x="10"/>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5">
        <item x="0"/>
        <item x="1"/>
        <item x="2"/>
        <item x="3"/>
        <item t="default"/>
      </items>
    </pivotField>
    <pivotField showAll="0"/>
    <pivotField showAll="0"/>
  </pivotFields>
  <rowFields count="1">
    <field x="6"/>
  </rowFields>
  <rowItems count="6">
    <i>
      <x v="5"/>
    </i>
    <i>
      <x v="13"/>
    </i>
    <i>
      <x v="12"/>
    </i>
    <i>
      <x v="2"/>
    </i>
    <i>
      <x v="1"/>
    </i>
    <i t="grand">
      <x/>
    </i>
  </rowItems>
  <colItems count="1">
    <i/>
  </colItems>
  <dataFields count="1">
    <dataField name="Sum of Sales" fld="7"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5925B7-5596-4A10-8069-44AC1D2D0822}"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Sales By Region">
  <location ref="A3:B8" firstHeaderRow="1" firstDataRow="1" firstDataCol="1"/>
  <pivotFields count="13">
    <pivotField showAll="0"/>
    <pivotField numFmtId="14" showAll="0"/>
    <pivotField axis="axisRow" showAll="0" sortType="ascending">
      <items count="5">
        <item x="0"/>
        <item x="3"/>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21">
        <item x="2"/>
        <item x="11"/>
        <item x="4"/>
        <item m="1" x="16"/>
        <item x="5"/>
        <item x="6"/>
        <item x="14"/>
        <item m="1" x="19"/>
        <item m="1" x="17"/>
        <item x="7"/>
        <item x="12"/>
        <item x="0"/>
        <item x="9"/>
        <item x="1"/>
        <item m="1" x="18"/>
        <item m="1" x="15"/>
        <item x="8"/>
        <item x="13"/>
        <item x="10"/>
        <item x="3"/>
        <item t="default"/>
      </items>
    </pivotField>
    <pivotField dataField="1" showAll="0"/>
    <pivotField showAll="0"/>
    <pivotField showAll="0"/>
    <pivotField showAll="0">
      <items count="5">
        <item x="0"/>
        <item x="1"/>
        <item x="2"/>
        <item x="3"/>
        <item t="default"/>
      </items>
    </pivotField>
    <pivotField showAll="0"/>
    <pivotField showAll="0"/>
  </pivotFields>
  <rowFields count="1">
    <field x="2"/>
  </rowFields>
  <rowItems count="5">
    <i>
      <x v="2"/>
    </i>
    <i>
      <x v="3"/>
    </i>
    <i>
      <x/>
    </i>
    <i>
      <x v="1"/>
    </i>
    <i t="grand">
      <x/>
    </i>
  </rowItems>
  <colItems count="1">
    <i/>
  </colItems>
  <dataFields count="1">
    <dataField name="Sum of Sales" fld="7"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F2BE24-1019-40CA-91F1-9C2E9164CE9A}"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rowHeaderCaption="Sales By Product">
  <location ref="G3:H7" firstHeaderRow="1" firstDataRow="1" firstDataCol="1"/>
  <pivotFields count="13">
    <pivotField showAll="0"/>
    <pivotField numFmtId="14" showAll="0"/>
    <pivotField showAll="0">
      <items count="5">
        <item x="0"/>
        <item x="3"/>
        <item x="2"/>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items count="21">
        <item x="2"/>
        <item x="11"/>
        <item x="4"/>
        <item m="1" x="16"/>
        <item x="5"/>
        <item x="6"/>
        <item x="14"/>
        <item m="1" x="19"/>
        <item m="1" x="17"/>
        <item x="7"/>
        <item x="12"/>
        <item x="0"/>
        <item x="9"/>
        <item x="1"/>
        <item m="1" x="18"/>
        <item m="1" x="15"/>
        <item x="8"/>
        <item x="13"/>
        <item x="10"/>
        <item x="3"/>
        <item t="default"/>
      </items>
    </pivotField>
    <pivotField showAll="0"/>
    <pivotField showAll="0"/>
    <pivotField dataField="1" showAll="0"/>
    <pivotField showAll="0">
      <items count="5">
        <item x="0"/>
        <item x="1"/>
        <item x="2"/>
        <item x="3"/>
        <item t="default"/>
      </items>
    </pivotField>
    <pivotField showAll="0"/>
    <pivotField showAll="0"/>
  </pivotFields>
  <rowFields count="1">
    <field x="4"/>
  </rowFields>
  <rowItems count="4">
    <i>
      <x v="2"/>
    </i>
    <i>
      <x/>
    </i>
    <i>
      <x v="1"/>
    </i>
    <i t="grand">
      <x/>
    </i>
  </rowItems>
  <colItems count="1">
    <i/>
  </colItems>
  <dataFields count="1">
    <dataField name="Sum of Profit" fld="9" baseField="0" baseItem="0"/>
  </dataFields>
  <chartFormats count="10">
    <chartFormat chart="4"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4" count="1" selected="0">
            <x v="2"/>
          </reference>
        </references>
      </pivotArea>
    </chartFormat>
    <chartFormat chart="7" format="7">
      <pivotArea type="data" outline="0" fieldPosition="0">
        <references count="2">
          <reference field="4294967294" count="1" selected="0">
            <x v="0"/>
          </reference>
          <reference field="4" count="1" selected="0">
            <x v="0"/>
          </reference>
        </references>
      </pivotArea>
    </chartFormat>
    <chartFormat chart="7" format="8">
      <pivotArea type="data" outline="0" fieldPosition="0">
        <references count="2">
          <reference field="4294967294" count="1" selected="0">
            <x v="0"/>
          </reference>
          <reference field="4" count="1" selected="0">
            <x v="1"/>
          </reference>
        </references>
      </pivotArea>
    </chartFormat>
    <chartFormat chart="9"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4" count="1" selected="0">
            <x v="2"/>
          </reference>
        </references>
      </pivotArea>
    </chartFormat>
    <chartFormat chart="12" format="7">
      <pivotArea type="data" outline="0" fieldPosition="0">
        <references count="2">
          <reference field="4294967294" count="1" selected="0">
            <x v="0"/>
          </reference>
          <reference field="4" count="1" selected="0">
            <x v="0"/>
          </reference>
        </references>
      </pivotArea>
    </chartFormat>
    <chartFormat chart="12"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AFCF56-FF62-435E-BDC1-45EBBD6C1F28}"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Sales By Month">
  <location ref="D3:E8" firstHeaderRow="1" firstDataRow="1" firstDataCol="1"/>
  <pivotFields count="13">
    <pivotField showAll="0"/>
    <pivotField numFmtId="14" showAll="0"/>
    <pivotField showAll="0">
      <items count="5">
        <item x="0"/>
        <item x="3"/>
        <item x="2"/>
        <item x="1"/>
        <item t="default"/>
      </items>
    </pivotField>
    <pivotField showAll="0"/>
    <pivotField showAll="0"/>
    <pivotField showAll="0"/>
    <pivotField showAll="0">
      <items count="21">
        <item x="2"/>
        <item x="11"/>
        <item x="4"/>
        <item m="1" x="16"/>
        <item x="5"/>
        <item x="6"/>
        <item x="14"/>
        <item m="1" x="19"/>
        <item m="1" x="17"/>
        <item x="7"/>
        <item x="12"/>
        <item x="0"/>
        <item x="9"/>
        <item x="1"/>
        <item m="1" x="18"/>
        <item m="1" x="15"/>
        <item x="8"/>
        <item x="13"/>
        <item x="10"/>
        <item x="3"/>
        <item t="default"/>
      </items>
    </pivotField>
    <pivotField showAll="0"/>
    <pivotField showAll="0"/>
    <pivotField dataField="1" showAll="0"/>
    <pivotField axis="axisRow" showAll="0" sortType="ascending">
      <items count="5">
        <item x="0"/>
        <item x="1"/>
        <item x="2"/>
        <item x="3"/>
        <item t="default"/>
      </items>
    </pivotField>
    <pivotField showAll="0"/>
    <pivotField showAll="0"/>
  </pivotFields>
  <rowFields count="1">
    <field x="10"/>
  </rowFields>
  <rowItems count="5">
    <i>
      <x/>
    </i>
    <i>
      <x v="1"/>
    </i>
    <i>
      <x v="2"/>
    </i>
    <i>
      <x v="3"/>
    </i>
    <i t="grand">
      <x/>
    </i>
  </rowItems>
  <colItems count="1">
    <i/>
  </colItems>
  <dataFields count="1">
    <dataField name="Sum of Profit" fld="9"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584C64E-BBDB-45F7-A5F2-575F2E364242}" sourceName="Region">
  <pivotTables>
    <pivotTable tabId="2" name="PivotTable1"/>
    <pivotTable tabId="2" name="PivotTable2"/>
    <pivotTable tabId="2" name="PivotTable3"/>
    <pivotTable tabId="2" name="PivotTable4"/>
  </pivotTables>
  <data>
    <tabular pivotCacheId="887853743">
      <items count="4">
        <i x="0" s="1"/>
        <i x="3" s="1"/>
        <i x="2"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695C845-C33A-4189-A35D-1E0CA5CEB20F}" sourceName="Product">
  <pivotTables>
    <pivotTable tabId="2" name="PivotTable4"/>
    <pivotTable tabId="2" name="PivotTable1"/>
    <pivotTable tabId="2" name="PivotTable2"/>
    <pivotTable tabId="2" name="PivotTable3"/>
  </pivotTables>
  <data>
    <tabular pivotCacheId="887853743" sortOrder="descending">
      <items count="20">
        <i x="3" s="1"/>
        <i x="10" s="1"/>
        <i x="13" s="1"/>
        <i x="8" s="1"/>
        <i x="1" s="1"/>
        <i x="9" s="1"/>
        <i x="0" s="1"/>
        <i x="12" s="1"/>
        <i x="7" s="1"/>
        <i x="14" s="1"/>
        <i x="6" s="1"/>
        <i x="5" s="1"/>
        <i x="4" s="1"/>
        <i x="11" s="1"/>
        <i x="2" s="1"/>
        <i x="15" s="1" nd="1"/>
        <i x="18" s="1" nd="1"/>
        <i x="17" s="1" nd="1"/>
        <i x="19" s="1" nd="1"/>
        <i x="16"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BC65F40-6B95-476F-BC86-6A9BCA4BAE55}" sourceName="Month">
  <pivotTables>
    <pivotTable tabId="2" name="PivotTable4"/>
    <pivotTable tabId="2" name="PivotTable1"/>
    <pivotTable tabId="2" name="PivotTable2"/>
    <pivotTable tabId="2" name="PivotTable3"/>
  </pivotTables>
  <data>
    <tabular pivotCacheId="887853743">
      <items count="4">
        <i x="0" s="1"/>
        <i x="1" s="1"/>
        <i x="2" s="1"/>
        <i x="3"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9E88E5C-C347-4263-A38B-567FC9F7E7A2}" cache="Slicer_Region" caption="Region" columnCount="2" showCaption="0" rowHeight="234950"/>
  <slicer name="Product" xr10:uid="{08F55987-64B4-4B5C-877F-EBD7EC78D698}" cache="Slicer_Product" caption="Product" columnCount="2" showCaption="0" rowHeight="222250"/>
  <slicer name="Month 1" xr10:uid="{9B027B20-DE52-4473-B30A-F2DB2F569B43}" cache="Slicer_Month" caption="Month" columnCount="2" showCaption="0"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32C3AF19-D9C4-4D3A-8896-2DC23D83AA02}" cache="Slicer_Product" caption="Product" columnCount="2" rowHeight="222250"/>
  <slicer name="Month" xr10:uid="{CBB4CC58-F347-40F7-B7F4-015DE4CB3D7F}" cache="Slicer_Month" caption="Month" columnCount="2" showCaption="0"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22710B-1F2A-4A6F-B9A7-9E41EEE2F3AA}" name="Sales_Data" displayName="Sales_Data" ref="A1:M16" totalsRowShown="0" headerRowDxfId="14" dataDxfId="13">
  <autoFilter ref="A1:M16" xr:uid="{E222710B-1F2A-4A6F-B9A7-9E41EEE2F3AA}"/>
  <tableColumns count="13">
    <tableColumn id="1" xr3:uid="{88375211-4B51-44B4-B463-63ABF75A2707}" name="Order ID" dataDxfId="12"/>
    <tableColumn id="2" xr3:uid="{EE0CCA9B-EF9F-4482-B784-178905AF602B}" name="Order Date" dataDxfId="11"/>
    <tableColumn id="3" xr3:uid="{59899D3D-9766-45BE-B91B-3E085020422F}" name="Region" dataDxfId="10"/>
    <tableColumn id="4" xr3:uid="{81403EAD-671F-4003-883F-C017E25F6B1D}" name="State" dataDxfId="9"/>
    <tableColumn id="5" xr3:uid="{F0FA7FE8-5CD9-4C7F-B8DA-E6E64D97B32F}" name="Category" dataDxfId="8"/>
    <tableColumn id="6" xr3:uid="{E8AC31F4-96C6-419A-8AB1-BFD5A1781739}" name="Sub-Category" dataDxfId="7"/>
    <tableColumn id="7" xr3:uid="{0B8BC519-E444-40C4-B7DD-4A58DC833E67}" name="Product" dataDxfId="6"/>
    <tableColumn id="8" xr3:uid="{383A9E08-160C-4B6D-9339-BC2453BAB4A5}" name="Sales" dataDxfId="5"/>
    <tableColumn id="9" xr3:uid="{D05E7CFE-7A8D-42C6-90C9-6572880A8FBE}" name="Quantity" dataDxfId="4"/>
    <tableColumn id="10" xr3:uid="{51718FE9-9629-4123-B6C5-AEF2D02EBAAF}" name="Profit" dataDxfId="3"/>
    <tableColumn id="11" xr3:uid="{82677945-2D14-4DBE-9C72-1664A59E6234}" name="Month" dataDxfId="2">
      <calculatedColumnFormula>TEXT(Sales_Data[[#This Row],[Order Date]],"mmmm")</calculatedColumnFormula>
    </tableColumn>
    <tableColumn id="12" xr3:uid="{86459DDF-7684-499E-B569-E700D723B97F}" name="Year" dataDxfId="1">
      <calculatedColumnFormula>YEAR(Sales_Data[[#This Row],[Order Date]])</calculatedColumnFormula>
    </tableColumn>
    <tableColumn id="13" xr3:uid="{8310DAD6-B612-4C91-AAFC-6E5C9A226596}" name="Profit Margin" dataDxfId="0">
      <calculatedColumnFormula>Sales_Data[[#This Row],[Profit]]/Sales_Data[[#This Row],[Sales]]</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ircuit">
  <a:themeElements>
    <a:clrScheme name="Circuit">
      <a:dk1>
        <a:sysClr val="windowText" lastClr="000000"/>
      </a:dk1>
      <a:lt1>
        <a:sysClr val="window" lastClr="FFFFFF"/>
      </a:lt1>
      <a:dk2>
        <a:srgbClr val="134770"/>
      </a:dk2>
      <a:lt2>
        <a:srgbClr val="82FFFF"/>
      </a:lt2>
      <a:accent1>
        <a:srgbClr val="9ACD4C"/>
      </a:accent1>
      <a:accent2>
        <a:srgbClr val="FAA93A"/>
      </a:accent2>
      <a:accent3>
        <a:srgbClr val="D35940"/>
      </a:accent3>
      <a:accent4>
        <a:srgbClr val="B258D3"/>
      </a:accent4>
      <a:accent5>
        <a:srgbClr val="63A0CC"/>
      </a:accent5>
      <a:accent6>
        <a:srgbClr val="8AC4A7"/>
      </a:accent6>
      <a:hlink>
        <a:srgbClr val="B8FA56"/>
      </a:hlink>
      <a:folHlink>
        <a:srgbClr val="7AF8CC"/>
      </a:folHlink>
    </a:clrScheme>
    <a:fontScheme name="Circui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ircuit">
      <a:fillStyleLst>
        <a:solidFill>
          <a:schemeClr val="phClr"/>
        </a:solidFill>
        <a:gradFill rotWithShape="1">
          <a:gsLst>
            <a:gs pos="0">
              <a:schemeClr val="phClr">
                <a:tint val="58000"/>
                <a:satMod val="108000"/>
                <a:lumMod val="110000"/>
              </a:schemeClr>
            </a:gs>
            <a:gs pos="100000">
              <a:schemeClr val="phClr">
                <a:tint val="81000"/>
                <a:satMod val="109000"/>
                <a:lumMod val="105000"/>
              </a:schemeClr>
            </a:gs>
          </a:gsLst>
          <a:lin ang="5040000" scaled="0"/>
        </a:gradFill>
        <a:gradFill rotWithShape="1">
          <a:gsLst>
            <a:gs pos="0">
              <a:schemeClr val="phClr">
                <a:tint val="94000"/>
                <a:satMod val="105000"/>
                <a:lumMod val="102000"/>
              </a:schemeClr>
            </a:gs>
            <a:gs pos="100000">
              <a:schemeClr val="phClr">
                <a:shade val="74000"/>
                <a:satMod val="128000"/>
                <a:lumMod val="10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98000"/>
                <a:hueMod val="94000"/>
                <a:satMod val="148000"/>
                <a:lumMod val="150000"/>
              </a:schemeClr>
            </a:gs>
            <a:gs pos="100000">
              <a:schemeClr val="phClr">
                <a:shade val="92000"/>
                <a:hueMod val="104000"/>
                <a:satMod val="140000"/>
                <a:lumMod val="68000"/>
              </a:schemeClr>
            </a:gs>
          </a:gsLst>
          <a:lin ang="5040000" scaled="0"/>
        </a:gradFill>
        <a:blipFill>
          <a:blip xmlns:r="http://schemas.openxmlformats.org/officeDocument/2006/relationships" r:embed="rId1">
            <a:duotone>
              <a:schemeClr val="phClr">
                <a:shade val="88000"/>
                <a:hueMod val="106000"/>
                <a:satMod val="140000"/>
                <a:lumMod val="54000"/>
              </a:schemeClr>
              <a:schemeClr val="phClr">
                <a:tint val="98000"/>
                <a:hueMod val="90000"/>
                <a:satMod val="150000"/>
                <a:lumMod val="160000"/>
              </a:schemeClr>
            </a:duotone>
          </a:blip>
          <a:stretch/>
        </a:blipFill>
      </a:bgFillStyleLst>
    </a:fmtScheme>
  </a:themeElements>
  <a:objectDefaults/>
  <a:extraClrSchemeLst/>
  <a:extLst>
    <a:ext uri="{05A4C25C-085E-4340-85A3-A5531E510DB2}">
      <thm15:themeFamily xmlns:thm15="http://schemas.microsoft.com/office/thememl/2012/main" name="Circuit" id="{0AC2F7E7-15F5-431C-B2A2-456FE929F56C}" vid="{0911B802-464C-4241-8DD9-B60FF88E379F}"/>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AF1DE-6913-4AC1-B3A5-1BCA7C56D756}">
  <dimension ref="A5"/>
  <sheetViews>
    <sheetView showGridLines="0" tabSelected="1" topLeftCell="A2" zoomScale="92" zoomScaleNormal="92" workbookViewId="0">
      <selection activeCell="R7" sqref="R7"/>
    </sheetView>
  </sheetViews>
  <sheetFormatPr defaultRowHeight="13.8" x14ac:dyDescent="0.25"/>
  <cols>
    <col min="2" max="2" width="18.8984375" customWidth="1"/>
    <col min="4" max="4" width="17.3984375" customWidth="1"/>
    <col min="6" max="6" width="16.296875" customWidth="1"/>
    <col min="8" max="8" width="19.296875" customWidth="1"/>
  </cols>
  <sheetData>
    <row r="5" spans="1:1" x14ac:dyDescent="0.25">
      <c r="A5"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DD46E-CD11-472F-B746-692D010ABC72}">
  <dimension ref="A3:K9"/>
  <sheetViews>
    <sheetView workbookViewId="0">
      <selection activeCell="J5" sqref="J5"/>
    </sheetView>
  </sheetViews>
  <sheetFormatPr defaultRowHeight="13.8" x14ac:dyDescent="0.25"/>
  <cols>
    <col min="1" max="1" width="15.59765625" bestFit="1" customWidth="1"/>
    <col min="2" max="2" width="10.8984375" bestFit="1" customWidth="1"/>
    <col min="4" max="4" width="15" bestFit="1" customWidth="1"/>
    <col min="5" max="5" width="11" bestFit="1" customWidth="1"/>
    <col min="7" max="7" width="15.8984375" bestFit="1" customWidth="1"/>
    <col min="8" max="8" width="11" bestFit="1" customWidth="1"/>
    <col min="10" max="10" width="15.8984375" bestFit="1" customWidth="1"/>
    <col min="11" max="11" width="10.8984375" bestFit="1" customWidth="1"/>
    <col min="12" max="12" width="11.59765625" customWidth="1"/>
  </cols>
  <sheetData>
    <row r="3" spans="1:11" x14ac:dyDescent="0.25">
      <c r="A3" s="4" t="s">
        <v>63</v>
      </c>
      <c r="B3" t="s">
        <v>55</v>
      </c>
      <c r="D3" s="4" t="s">
        <v>62</v>
      </c>
      <c r="E3" t="s">
        <v>56</v>
      </c>
      <c r="G3" s="4" t="s">
        <v>61</v>
      </c>
      <c r="H3" t="s">
        <v>56</v>
      </c>
      <c r="J3" s="4" t="s">
        <v>61</v>
      </c>
      <c r="K3" t="s">
        <v>55</v>
      </c>
    </row>
    <row r="4" spans="1:11" x14ac:dyDescent="0.25">
      <c r="A4" s="5" t="s">
        <v>19</v>
      </c>
      <c r="B4" s="6">
        <v>29600</v>
      </c>
      <c r="D4" s="5" t="s">
        <v>57</v>
      </c>
      <c r="E4" s="6">
        <v>3100</v>
      </c>
      <c r="G4" s="5" t="s">
        <v>17</v>
      </c>
      <c r="H4" s="6">
        <v>22100</v>
      </c>
      <c r="J4" s="5" t="s">
        <v>34</v>
      </c>
      <c r="K4" s="6">
        <v>12000</v>
      </c>
    </row>
    <row r="5" spans="1:11" x14ac:dyDescent="0.25">
      <c r="A5" s="5" t="s">
        <v>15</v>
      </c>
      <c r="B5" s="6">
        <v>32200</v>
      </c>
      <c r="D5" s="5" t="s">
        <v>58</v>
      </c>
      <c r="E5" s="6">
        <v>8950</v>
      </c>
      <c r="G5" s="5" t="s">
        <v>12</v>
      </c>
      <c r="H5" s="6">
        <v>3900</v>
      </c>
      <c r="J5" s="5" t="s">
        <v>68</v>
      </c>
      <c r="K5" s="6">
        <v>15000</v>
      </c>
    </row>
    <row r="6" spans="1:11" x14ac:dyDescent="0.25">
      <c r="A6" s="5" t="s">
        <v>10</v>
      </c>
      <c r="B6" s="6">
        <v>63500</v>
      </c>
      <c r="D6" s="5" t="s">
        <v>59</v>
      </c>
      <c r="E6" s="6">
        <v>3600</v>
      </c>
      <c r="G6" s="5" t="s">
        <v>21</v>
      </c>
      <c r="H6" s="6">
        <v>600</v>
      </c>
      <c r="J6" s="5" t="s">
        <v>67</v>
      </c>
      <c r="K6" s="6">
        <v>18000</v>
      </c>
    </row>
    <row r="7" spans="1:11" x14ac:dyDescent="0.25">
      <c r="A7" s="5" t="s">
        <v>24</v>
      </c>
      <c r="B7" s="6">
        <v>70700</v>
      </c>
      <c r="D7" s="5" t="s">
        <v>60</v>
      </c>
      <c r="E7" s="6">
        <v>10950</v>
      </c>
      <c r="G7" s="5" t="s">
        <v>54</v>
      </c>
      <c r="H7" s="6">
        <v>26600</v>
      </c>
      <c r="J7" s="5" t="s">
        <v>69</v>
      </c>
      <c r="K7" s="6">
        <v>55000</v>
      </c>
    </row>
    <row r="8" spans="1:11" x14ac:dyDescent="0.25">
      <c r="A8" s="5" t="s">
        <v>54</v>
      </c>
      <c r="B8" s="6">
        <v>196000</v>
      </c>
      <c r="D8" s="5" t="s">
        <v>54</v>
      </c>
      <c r="E8" s="6">
        <v>26600</v>
      </c>
      <c r="J8" s="5" t="s">
        <v>66</v>
      </c>
      <c r="K8" s="6">
        <v>62000</v>
      </c>
    </row>
    <row r="9" spans="1:11" x14ac:dyDescent="0.25">
      <c r="J9" s="5" t="s">
        <v>54</v>
      </c>
      <c r="K9" s="6">
        <v>162000</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450C1-1DE7-40E9-B42D-5F168632D713}">
  <dimension ref="A1:O16"/>
  <sheetViews>
    <sheetView workbookViewId="0">
      <selection activeCell="G7" sqref="G7"/>
    </sheetView>
  </sheetViews>
  <sheetFormatPr defaultRowHeight="13.8" x14ac:dyDescent="0.25"/>
  <cols>
    <col min="1" max="1" width="11.3984375" bestFit="1" customWidth="1"/>
    <col min="2" max="2" width="13.296875" bestFit="1" customWidth="1"/>
    <col min="3" max="3" width="10.3984375" bestFit="1" customWidth="1"/>
    <col min="4" max="4" width="14.5" customWidth="1"/>
    <col min="5" max="5" width="13" customWidth="1"/>
    <col min="6" max="6" width="15.5" bestFit="1" customWidth="1"/>
    <col min="7" max="7" width="12.796875" customWidth="1"/>
    <col min="8" max="8" width="9" bestFit="1" customWidth="1"/>
    <col min="9" max="9" width="11.69921875" bestFit="1" customWidth="1"/>
    <col min="10" max="10" width="9.09765625" bestFit="1" customWidth="1"/>
    <col min="11" max="11" width="11.09765625" customWidth="1"/>
    <col min="12" max="12" width="9" customWidth="1"/>
    <col min="13" max="13" width="16.5" customWidth="1"/>
    <col min="15" max="15" width="11.69921875" bestFit="1" customWidth="1"/>
  </cols>
  <sheetData>
    <row r="1" spans="1:15" x14ac:dyDescent="0.25">
      <c r="A1" s="3" t="s">
        <v>0</v>
      </c>
      <c r="B1" s="3" t="s">
        <v>1</v>
      </c>
      <c r="C1" s="3" t="s">
        <v>2</v>
      </c>
      <c r="D1" s="3" t="s">
        <v>3</v>
      </c>
      <c r="E1" s="3" t="s">
        <v>4</v>
      </c>
      <c r="F1" s="3" t="s">
        <v>5</v>
      </c>
      <c r="G1" s="3" t="s">
        <v>6</v>
      </c>
      <c r="H1" s="3" t="s">
        <v>7</v>
      </c>
      <c r="I1" s="3" t="s">
        <v>8</v>
      </c>
      <c r="J1" s="3" t="s">
        <v>9</v>
      </c>
      <c r="K1" s="3" t="s">
        <v>51</v>
      </c>
      <c r="L1" s="3" t="s">
        <v>52</v>
      </c>
      <c r="M1" s="3" t="s">
        <v>53</v>
      </c>
      <c r="O1" s="8" t="s">
        <v>64</v>
      </c>
    </row>
    <row r="2" spans="1:15" x14ac:dyDescent="0.25">
      <c r="A2" s="1">
        <v>1001</v>
      </c>
      <c r="B2" s="2">
        <v>45292</v>
      </c>
      <c r="C2" s="1" t="s">
        <v>10</v>
      </c>
      <c r="D2" s="1" t="s">
        <v>11</v>
      </c>
      <c r="E2" s="1" t="s">
        <v>12</v>
      </c>
      <c r="F2" s="1" t="s">
        <v>13</v>
      </c>
      <c r="G2" s="1" t="s">
        <v>14</v>
      </c>
      <c r="H2" s="1">
        <v>4500</v>
      </c>
      <c r="I2" s="1">
        <v>2</v>
      </c>
      <c r="J2" s="1">
        <v>800</v>
      </c>
      <c r="K2" s="1" t="str">
        <f>TEXT(Sales_Data[[#This Row],[Order Date]],"mmmm")</f>
        <v>January</v>
      </c>
      <c r="L2" s="1">
        <f>YEAR(Sales_Data[[#This Row],[Order Date]])</f>
        <v>2024</v>
      </c>
      <c r="M2" s="1">
        <f>Sales_Data[[#This Row],[Profit]]/Sales_Data[[#This Row],[Sales]]</f>
        <v>0.17777777777777778</v>
      </c>
      <c r="O2" s="9">
        <f>SUM(Sales_Data[Sales])</f>
        <v>196000</v>
      </c>
    </row>
    <row r="3" spans="1:15" x14ac:dyDescent="0.25">
      <c r="A3" s="1">
        <v>1002</v>
      </c>
      <c r="B3" s="2">
        <v>45294</v>
      </c>
      <c r="C3" s="1" t="s">
        <v>15</v>
      </c>
      <c r="D3" s="1" t="s">
        <v>16</v>
      </c>
      <c r="E3" s="1" t="s">
        <v>17</v>
      </c>
      <c r="F3" s="1" t="s">
        <v>18</v>
      </c>
      <c r="G3" s="1" t="s">
        <v>68</v>
      </c>
      <c r="H3" s="1">
        <v>15000</v>
      </c>
      <c r="I3" s="1">
        <v>3</v>
      </c>
      <c r="J3" s="1">
        <v>2500</v>
      </c>
      <c r="K3" s="1" t="str">
        <f>TEXT(Sales_Data[[#This Row],[Order Date]],"mmmm")</f>
        <v>January</v>
      </c>
      <c r="L3" s="1">
        <f>YEAR(Sales_Data[[#This Row],[Order Date]])</f>
        <v>2024</v>
      </c>
      <c r="M3" s="1">
        <f>Sales_Data[[#This Row],[Profit]]/Sales_Data[[#This Row],[Sales]]</f>
        <v>0.16666666666666666</v>
      </c>
      <c r="O3" s="8" t="s">
        <v>9</v>
      </c>
    </row>
    <row r="4" spans="1:15" x14ac:dyDescent="0.25">
      <c r="A4" s="1">
        <v>1003</v>
      </c>
      <c r="B4" s="2">
        <v>45296</v>
      </c>
      <c r="C4" s="1" t="s">
        <v>19</v>
      </c>
      <c r="D4" s="1" t="s">
        <v>20</v>
      </c>
      <c r="E4" s="1" t="s">
        <v>21</v>
      </c>
      <c r="F4" s="1" t="s">
        <v>22</v>
      </c>
      <c r="G4" s="1" t="s">
        <v>23</v>
      </c>
      <c r="H4" s="1">
        <v>1200</v>
      </c>
      <c r="I4" s="1">
        <v>10</v>
      </c>
      <c r="J4" s="1">
        <v>300</v>
      </c>
      <c r="K4" s="1" t="str">
        <f>TEXT(Sales_Data[[#This Row],[Order Date]],"mmmm")</f>
        <v>January</v>
      </c>
      <c r="L4" s="1">
        <f>YEAR(Sales_Data[[#This Row],[Order Date]])</f>
        <v>2024</v>
      </c>
      <c r="M4" s="1">
        <f>Sales_Data[[#This Row],[Profit]]/Sales_Data[[#This Row],[Sales]]</f>
        <v>0.25</v>
      </c>
      <c r="O4" s="9">
        <f>SUM(Sales_Data[Profit])</f>
        <v>26600</v>
      </c>
    </row>
    <row r="5" spans="1:15" x14ac:dyDescent="0.25">
      <c r="A5" s="1">
        <v>1004</v>
      </c>
      <c r="B5" s="2">
        <v>45301</v>
      </c>
      <c r="C5" s="1" t="s">
        <v>24</v>
      </c>
      <c r="D5" s="1" t="s">
        <v>25</v>
      </c>
      <c r="E5" s="1" t="s">
        <v>12</v>
      </c>
      <c r="F5" s="1" t="s">
        <v>26</v>
      </c>
      <c r="G5" s="1" t="s">
        <v>27</v>
      </c>
      <c r="H5" s="1">
        <v>8000</v>
      </c>
      <c r="I5" s="1">
        <v>1</v>
      </c>
      <c r="J5" s="1">
        <v>-500</v>
      </c>
      <c r="K5" s="1" t="str">
        <f>TEXT(Sales_Data[[#This Row],[Order Date]],"mmmm")</f>
        <v>January</v>
      </c>
      <c r="L5" s="1">
        <f>YEAR(Sales_Data[[#This Row],[Order Date]])</f>
        <v>2024</v>
      </c>
      <c r="M5" s="1">
        <f>Sales_Data[[#This Row],[Profit]]/Sales_Data[[#This Row],[Sales]]</f>
        <v>-6.25E-2</v>
      </c>
      <c r="O5" s="8" t="s">
        <v>65</v>
      </c>
    </row>
    <row r="6" spans="1:15" x14ac:dyDescent="0.25">
      <c r="A6" s="1">
        <v>1005</v>
      </c>
      <c r="B6" s="2">
        <v>45337</v>
      </c>
      <c r="C6" s="1" t="s">
        <v>10</v>
      </c>
      <c r="D6" s="1" t="s">
        <v>28</v>
      </c>
      <c r="E6" s="1" t="s">
        <v>17</v>
      </c>
      <c r="F6" s="1" t="s">
        <v>29</v>
      </c>
      <c r="G6" s="1" t="s">
        <v>69</v>
      </c>
      <c r="H6" s="1">
        <v>55000</v>
      </c>
      <c r="I6" s="1">
        <v>2</v>
      </c>
      <c r="J6" s="1">
        <v>7000</v>
      </c>
      <c r="K6" s="1" t="str">
        <f>TEXT(Sales_Data[[#This Row],[Order Date]],"mmmm")</f>
        <v>February</v>
      </c>
      <c r="L6" s="1">
        <f>YEAR(Sales_Data[[#This Row],[Order Date]])</f>
        <v>2024</v>
      </c>
      <c r="M6" s="1">
        <f>Sales_Data[[#This Row],[Profit]]/Sales_Data[[#This Row],[Sales]]</f>
        <v>0.12727272727272726</v>
      </c>
      <c r="O6">
        <f>SUM(Sales_Data[Quantity])</f>
        <v>47</v>
      </c>
    </row>
    <row r="7" spans="1:15" x14ac:dyDescent="0.25">
      <c r="A7" s="1">
        <v>1006</v>
      </c>
      <c r="B7" s="2">
        <v>45340</v>
      </c>
      <c r="C7" s="1" t="s">
        <v>19</v>
      </c>
      <c r="D7" s="1" t="s">
        <v>11</v>
      </c>
      <c r="E7" s="1" t="s">
        <v>21</v>
      </c>
      <c r="F7" s="1" t="s">
        <v>30</v>
      </c>
      <c r="G7" s="1" t="s">
        <v>31</v>
      </c>
      <c r="H7" s="1">
        <v>900</v>
      </c>
      <c r="I7" s="1">
        <v>5</v>
      </c>
      <c r="J7" s="1">
        <v>150</v>
      </c>
      <c r="K7" s="1" t="str">
        <f>TEXT(Sales_Data[[#This Row],[Order Date]],"mmmm")</f>
        <v>February</v>
      </c>
      <c r="L7" s="1">
        <f>YEAR(Sales_Data[[#This Row],[Order Date]])</f>
        <v>2024</v>
      </c>
      <c r="M7" s="1">
        <f>Sales_Data[[#This Row],[Profit]]/Sales_Data[[#This Row],[Sales]]</f>
        <v>0.16666666666666666</v>
      </c>
      <c r="O7" s="8" t="s">
        <v>53</v>
      </c>
    </row>
    <row r="8" spans="1:15" x14ac:dyDescent="0.25">
      <c r="A8" s="1">
        <v>1007</v>
      </c>
      <c r="B8" s="2">
        <v>45344</v>
      </c>
      <c r="C8" s="1" t="s">
        <v>15</v>
      </c>
      <c r="D8" s="1" t="s">
        <v>32</v>
      </c>
      <c r="E8" s="1" t="s">
        <v>12</v>
      </c>
      <c r="F8" s="1" t="s">
        <v>33</v>
      </c>
      <c r="G8" s="1" t="s">
        <v>34</v>
      </c>
      <c r="H8" s="1">
        <v>12000</v>
      </c>
      <c r="I8" s="1">
        <v>1</v>
      </c>
      <c r="J8" s="1">
        <v>1800</v>
      </c>
      <c r="K8" s="1" t="str">
        <f>TEXT(Sales_Data[[#This Row],[Order Date]],"mmmm")</f>
        <v>February</v>
      </c>
      <c r="L8" s="1">
        <f>YEAR(Sales_Data[[#This Row],[Order Date]])</f>
        <v>2024</v>
      </c>
      <c r="M8" s="1">
        <f>Sales_Data[[#This Row],[Profit]]/Sales_Data[[#This Row],[Sales]]</f>
        <v>0.15</v>
      </c>
      <c r="O8" s="10" cm="1">
        <f t="array" ref="O8">SUM(Sales_Data[Profit]/SUM(Sales_Data[Sales]))</f>
        <v>0.1357142857142857</v>
      </c>
    </row>
    <row r="9" spans="1:15" x14ac:dyDescent="0.25">
      <c r="A9" s="1">
        <v>1008</v>
      </c>
      <c r="B9" s="2">
        <v>45356</v>
      </c>
      <c r="C9" s="1" t="s">
        <v>24</v>
      </c>
      <c r="D9" s="1" t="s">
        <v>35</v>
      </c>
      <c r="E9" s="1" t="s">
        <v>17</v>
      </c>
      <c r="F9" s="1" t="s">
        <v>36</v>
      </c>
      <c r="G9" s="1" t="s">
        <v>37</v>
      </c>
      <c r="H9" s="1">
        <v>700</v>
      </c>
      <c r="I9" s="1">
        <v>4</v>
      </c>
      <c r="J9" s="1">
        <v>200</v>
      </c>
      <c r="K9" s="1" t="str">
        <f>TEXT(Sales_Data[[#This Row],[Order Date]],"mmmm")</f>
        <v>March</v>
      </c>
      <c r="L9" s="1">
        <f>YEAR(Sales_Data[[#This Row],[Order Date]])</f>
        <v>2024</v>
      </c>
      <c r="M9" s="1">
        <f>Sales_Data[[#This Row],[Profit]]/Sales_Data[[#This Row],[Sales]]</f>
        <v>0.2857142857142857</v>
      </c>
    </row>
    <row r="10" spans="1:15" x14ac:dyDescent="0.25">
      <c r="A10" s="1">
        <v>1009</v>
      </c>
      <c r="B10" s="2">
        <v>45361</v>
      </c>
      <c r="C10" s="1" t="s">
        <v>10</v>
      </c>
      <c r="D10" s="1" t="s">
        <v>38</v>
      </c>
      <c r="E10" s="1" t="s">
        <v>21</v>
      </c>
      <c r="F10" s="1" t="s">
        <v>39</v>
      </c>
      <c r="G10" s="1" t="s">
        <v>40</v>
      </c>
      <c r="H10" s="1">
        <v>2500</v>
      </c>
      <c r="I10" s="1">
        <v>3</v>
      </c>
      <c r="J10" s="1">
        <v>-200</v>
      </c>
      <c r="K10" s="1" t="str">
        <f>TEXT(Sales_Data[[#This Row],[Order Date]],"mmmm")</f>
        <v>March</v>
      </c>
      <c r="L10" s="1">
        <f>YEAR(Sales_Data[[#This Row],[Order Date]])</f>
        <v>2024</v>
      </c>
      <c r="M10" s="1">
        <f>Sales_Data[[#This Row],[Profit]]/Sales_Data[[#This Row],[Sales]]</f>
        <v>-0.08</v>
      </c>
    </row>
    <row r="11" spans="1:15" x14ac:dyDescent="0.25">
      <c r="A11" s="1">
        <v>1010</v>
      </c>
      <c r="B11" s="2">
        <v>45369</v>
      </c>
      <c r="C11" s="1" t="s">
        <v>19</v>
      </c>
      <c r="D11" s="1" t="s">
        <v>41</v>
      </c>
      <c r="E11" s="1" t="s">
        <v>17</v>
      </c>
      <c r="F11" s="1" t="s">
        <v>18</v>
      </c>
      <c r="G11" s="1" t="s">
        <v>67</v>
      </c>
      <c r="H11" s="1">
        <v>18000</v>
      </c>
      <c r="I11" s="1">
        <v>2</v>
      </c>
      <c r="J11" s="1">
        <v>3000</v>
      </c>
      <c r="K11" s="1" t="str">
        <f>TEXT(Sales_Data[[#This Row],[Order Date]],"mmmm")</f>
        <v>March</v>
      </c>
      <c r="L11" s="1">
        <f>YEAR(Sales_Data[[#This Row],[Order Date]])</f>
        <v>2024</v>
      </c>
      <c r="M11" s="1">
        <f>Sales_Data[[#This Row],[Profit]]/Sales_Data[[#This Row],[Sales]]</f>
        <v>0.16666666666666666</v>
      </c>
    </row>
    <row r="12" spans="1:15" x14ac:dyDescent="0.25">
      <c r="A12" s="1">
        <v>1011</v>
      </c>
      <c r="B12" s="2">
        <v>45376</v>
      </c>
      <c r="C12" s="1" t="s">
        <v>15</v>
      </c>
      <c r="D12" s="1" t="s">
        <v>42</v>
      </c>
      <c r="E12" s="1" t="s">
        <v>12</v>
      </c>
      <c r="F12" s="1" t="s">
        <v>13</v>
      </c>
      <c r="G12" s="1" t="s">
        <v>43</v>
      </c>
      <c r="H12" s="1">
        <v>3000</v>
      </c>
      <c r="I12" s="1">
        <v>4</v>
      </c>
      <c r="J12" s="1">
        <v>600</v>
      </c>
      <c r="K12" s="1" t="str">
        <f>TEXT(Sales_Data[[#This Row],[Order Date]],"mmmm")</f>
        <v>March</v>
      </c>
      <c r="L12" s="1">
        <f>YEAR(Sales_Data[[#This Row],[Order Date]])</f>
        <v>2024</v>
      </c>
      <c r="M12" s="1">
        <f>Sales_Data[[#This Row],[Profit]]/Sales_Data[[#This Row],[Sales]]</f>
        <v>0.2</v>
      </c>
    </row>
    <row r="13" spans="1:15" x14ac:dyDescent="0.25">
      <c r="A13" s="1">
        <v>1012</v>
      </c>
      <c r="B13" s="2">
        <v>45383</v>
      </c>
      <c r="C13" s="1" t="s">
        <v>24</v>
      </c>
      <c r="D13" s="1" t="s">
        <v>44</v>
      </c>
      <c r="E13" s="1" t="s">
        <v>17</v>
      </c>
      <c r="F13" s="1" t="s">
        <v>29</v>
      </c>
      <c r="G13" s="1" t="s">
        <v>66</v>
      </c>
      <c r="H13" s="1">
        <v>62000</v>
      </c>
      <c r="I13" s="1">
        <v>1</v>
      </c>
      <c r="J13" s="1">
        <v>9000</v>
      </c>
      <c r="K13" s="1" t="str">
        <f>TEXT(Sales_Data[[#This Row],[Order Date]],"mmmm")</f>
        <v>April</v>
      </c>
      <c r="L13" s="1">
        <f>YEAR(Sales_Data[[#This Row],[Order Date]])</f>
        <v>2024</v>
      </c>
      <c r="M13" s="1">
        <f>Sales_Data[[#This Row],[Profit]]/Sales_Data[[#This Row],[Sales]]</f>
        <v>0.14516129032258066</v>
      </c>
    </row>
    <row r="14" spans="1:15" x14ac:dyDescent="0.25">
      <c r="A14" s="1">
        <v>1013</v>
      </c>
      <c r="B14" s="2">
        <v>45390</v>
      </c>
      <c r="C14" s="1" t="s">
        <v>10</v>
      </c>
      <c r="D14" s="1" t="s">
        <v>45</v>
      </c>
      <c r="E14" s="1" t="s">
        <v>21</v>
      </c>
      <c r="F14" s="1" t="s">
        <v>22</v>
      </c>
      <c r="G14" s="1" t="s">
        <v>46</v>
      </c>
      <c r="H14" s="1">
        <v>1500</v>
      </c>
      <c r="I14" s="1">
        <v>6</v>
      </c>
      <c r="J14" s="1">
        <v>350</v>
      </c>
      <c r="K14" s="1" t="str">
        <f>TEXT(Sales_Data[[#This Row],[Order Date]],"mmmm")</f>
        <v>April</v>
      </c>
      <c r="L14" s="1">
        <f>YEAR(Sales_Data[[#This Row],[Order Date]])</f>
        <v>2024</v>
      </c>
      <c r="M14" s="1">
        <f>Sales_Data[[#This Row],[Profit]]/Sales_Data[[#This Row],[Sales]]</f>
        <v>0.23333333333333334</v>
      </c>
    </row>
    <row r="15" spans="1:15" x14ac:dyDescent="0.25">
      <c r="A15" s="1">
        <v>1014</v>
      </c>
      <c r="B15" s="2">
        <v>45397</v>
      </c>
      <c r="C15" s="1" t="s">
        <v>19</v>
      </c>
      <c r="D15" s="1" t="s">
        <v>47</v>
      </c>
      <c r="E15" s="1" t="s">
        <v>12</v>
      </c>
      <c r="F15" s="1" t="s">
        <v>26</v>
      </c>
      <c r="G15" s="1" t="s">
        <v>48</v>
      </c>
      <c r="H15" s="1">
        <v>9500</v>
      </c>
      <c r="I15" s="1">
        <v>1</v>
      </c>
      <c r="J15" s="1">
        <v>1200</v>
      </c>
      <c r="K15" s="1" t="str">
        <f>TEXT(Sales_Data[[#This Row],[Order Date]],"mmmm")</f>
        <v>April</v>
      </c>
      <c r="L15" s="1">
        <f>YEAR(Sales_Data[[#This Row],[Order Date]])</f>
        <v>2024</v>
      </c>
      <c r="M15" s="1">
        <f>Sales_Data[[#This Row],[Profit]]/Sales_Data[[#This Row],[Sales]]</f>
        <v>0.12631578947368421</v>
      </c>
    </row>
    <row r="16" spans="1:15" x14ac:dyDescent="0.25">
      <c r="A16" s="1">
        <v>1015</v>
      </c>
      <c r="B16" s="2">
        <v>45402</v>
      </c>
      <c r="C16" s="1" t="s">
        <v>15</v>
      </c>
      <c r="D16" s="1" t="s">
        <v>49</v>
      </c>
      <c r="E16" s="1" t="s">
        <v>17</v>
      </c>
      <c r="F16" s="1" t="s">
        <v>36</v>
      </c>
      <c r="G16" s="1" t="s">
        <v>50</v>
      </c>
      <c r="H16" s="1">
        <v>2200</v>
      </c>
      <c r="I16" s="1">
        <v>2</v>
      </c>
      <c r="J16" s="1">
        <v>400</v>
      </c>
      <c r="K16" s="1" t="str">
        <f>TEXT(Sales_Data[[#This Row],[Order Date]],"mmmm")</f>
        <v>April</v>
      </c>
      <c r="L16" s="1">
        <f>YEAR(Sales_Data[[#This Row],[Order Date]])</f>
        <v>2024</v>
      </c>
      <c r="M16" s="1">
        <f>Sales_Data[[#This Row],[Profit]]/Sales_Data[[#This Row],[Sales]]</f>
        <v>0.18181818181818182</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Pivot_Analyze</vt:lpstr>
      <vt:lpstr>Sales_Analysis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 Ahad</dc:creator>
  <cp:lastModifiedBy>Abdul Ahad</cp:lastModifiedBy>
  <dcterms:created xsi:type="dcterms:W3CDTF">2026-01-11T09:14:26Z</dcterms:created>
  <dcterms:modified xsi:type="dcterms:W3CDTF">2026-02-03T10:01:53Z</dcterms:modified>
</cp:coreProperties>
</file>